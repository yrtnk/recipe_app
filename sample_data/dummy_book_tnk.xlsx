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コード表" sheetId="2" state="visible" r:id="rId4"/>
    <sheet name="表紙" sheetId="3" state="visible" r:id="rId5"/>
    <sheet name="試作シート1" sheetId="4" state="visible" r:id="rId6"/>
    <sheet name="試作シート2" sheetId="5" state="visible" r:id="rId7"/>
    <sheet name="試作シート3" sheetId="6" state="visible" r:id="rId8"/>
    <sheet name="試作シート4" sheetId="7" state="visible" r:id="rId9"/>
    <sheet name="試作一覧" sheetId="8" state="visible" r:id="rId10"/>
  </sheets>
  <definedNames>
    <definedName function="false" hidden="false" name="カテゴリーコード一覧" vbProcedure="false">コード表!$A$3:$A$17</definedName>
    <definedName function="false" hidden="false" name="作成者コード一覧" vbProcedure="false">コード表!$D$3:$D$17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<sst xmlns="http://schemas.openxmlformats.org/spreadsheetml/2006/main" count="272" uniqueCount="130">
  <si>
    <t xml:space="preserve">【このファイルについて】</t>
  </si>
  <si>
    <r>
      <rPr>
        <sz val="10"/>
        <rFont val="Noto Sans CJK SC"/>
        <family val="2"/>
      </rPr>
      <t xml:space="preserve">アップロード動作確認用のダミーデータです。試作シートを</t>
    </r>
    <r>
      <rPr>
        <sz val="10"/>
        <rFont val="Yu Gothic"/>
        <family val="0"/>
        <charset val="1"/>
      </rPr>
      <t xml:space="preserve">8</t>
    </r>
    <r>
      <rPr>
        <sz val="10"/>
        <rFont val="Noto Sans CJK SC"/>
        <family val="2"/>
      </rPr>
      <t xml:space="preserve">件収録しています。</t>
    </r>
  </si>
  <si>
    <t xml:space="preserve">現在のアプリは配合表（原料・配合量）は読み込まないため、このファイルには含めていません。</t>
  </si>
  <si>
    <t xml:space="preserve">カテゴリーコード表</t>
  </si>
  <si>
    <t xml:space="preserve">作成者コード表</t>
  </si>
  <si>
    <t xml:space="preserve">コード</t>
  </si>
  <si>
    <t xml:space="preserve">名称</t>
  </si>
  <si>
    <t xml:space="preserve">氏名</t>
  </si>
  <si>
    <t xml:space="preserve">RK</t>
  </si>
  <si>
    <t xml:space="preserve">冷菓</t>
  </si>
  <si>
    <t xml:space="preserve">tnk</t>
  </si>
  <si>
    <t xml:space="preserve">田中</t>
  </si>
  <si>
    <t xml:space="preserve">CH</t>
  </si>
  <si>
    <t xml:space="preserve">チョコレート</t>
  </si>
  <si>
    <t xml:space="preserve">myt</t>
  </si>
  <si>
    <t xml:space="preserve">宮田</t>
  </si>
  <si>
    <t xml:space="preserve">試作ブック情報（表紙）</t>
  </si>
  <si>
    <r>
      <rPr>
        <b val="true"/>
        <sz val="10"/>
        <color rgb="FFFFFFFF"/>
        <rFont val="Noto Sans CJK SC"/>
        <family val="2"/>
      </rPr>
      <t xml:space="preserve">ブック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</si>
  <si>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BOOK-2026-0002</t>
  </si>
  <si>
    <t xml:space="preserve">ブック名</t>
  </si>
  <si>
    <t xml:space="preserve">バニラアイス フレーバー展開検討（山田担当分）</t>
  </si>
  <si>
    <r>
      <rPr>
        <b val="true"/>
        <sz val="10"/>
        <color rgb="FFFFFFFF"/>
        <rFont val="Noto Sans CJK SC"/>
        <family val="2"/>
      </rPr>
      <t xml:space="preserve">企画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</si>
  <si>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PJ-2026-021</t>
  </si>
  <si>
    <t xml:space="preserve">カテゴリーコード</t>
  </si>
  <si>
    <t xml:space="preserve">作成者</t>
  </si>
  <si>
    <t xml:space="preserve">山田 太郎</t>
  </si>
  <si>
    <t xml:space="preserve">作成者コード</t>
  </si>
  <si>
    <t xml:space="preserve">作成日</t>
  </si>
  <si>
    <t xml:space="preserve">2026-07-01</t>
  </si>
  <si>
    <t xml:space="preserve">作成時刻</t>
  </si>
  <si>
    <t xml:space="preserve">09:00</t>
  </si>
  <si>
    <r>
      <rPr>
        <b val="true"/>
        <sz val="10"/>
        <color rgb="FFFFFFFF"/>
        <rFont val="Noto Sans CJK SC"/>
        <family val="2"/>
      </rPr>
      <t xml:space="preserve">配合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</si>
  <si>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タイトル</t>
  </si>
  <si>
    <t xml:space="preserve">バニラベース 甘味料検討</t>
  </si>
  <si>
    <t xml:space="preserve">ステータス</t>
  </si>
  <si>
    <t xml:space="preserve">最終確定</t>
  </si>
  <si>
    <t xml:space="preserve">2026-07-02</t>
  </si>
  <si>
    <t xml:space="preserve">10:00</t>
  </si>
  <si>
    <t xml:space="preserve">更新日</t>
  </si>
  <si>
    <t xml:space="preserve">2026-07-05</t>
  </si>
  <si>
    <t xml:space="preserve">更新時刻</t>
  </si>
  <si>
    <t xml:space="preserve">14:00</t>
  </si>
  <si>
    <t xml:space="preserve">完了日</t>
  </si>
  <si>
    <t xml:space="preserve">背景・目的</t>
  </si>
  <si>
    <t xml:space="preserve">コストダウンのため砂糖の一部を代替甘味料に置き換えたい。</t>
  </si>
  <si>
    <t xml:space="preserve">結論</t>
  </si>
  <si>
    <r>
      <rPr>
        <sz val="10"/>
        <color rgb="FF0000FF"/>
        <rFont val="Noto Sans CJK SC"/>
        <family val="2"/>
      </rPr>
      <t xml:space="preserve">羅漢果エキス</t>
    </r>
    <r>
      <rPr>
        <sz val="10"/>
        <color rgb="FF0000FF"/>
        <rFont val="Yu Gothic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置換で官能評価に有意差なし。採用候補。</t>
    </r>
  </si>
  <si>
    <t xml:space="preserve">次のアクション</t>
  </si>
  <si>
    <t xml:space="preserve">■ 配合表（配合比較）</t>
  </si>
  <si>
    <r>
      <rPr>
        <b val="true"/>
        <sz val="10"/>
        <color rgb="FF2C2C2A"/>
        <rFont val="Noto Sans CJK SC"/>
        <family val="2"/>
      </rPr>
      <t xml:space="preserve">配合</t>
    </r>
    <r>
      <rPr>
        <b val="true"/>
        <sz val="10"/>
        <color rgb="FF2C2C2A"/>
        <rFont val="Yu Gothic"/>
        <family val="0"/>
        <charset val="1"/>
      </rPr>
      <t xml:space="preserve">No</t>
    </r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</si>
  <si>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</si>
  <si>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</si>
  <si>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</si>
  <si>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</si>
  <si>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</si>
  <si>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</si>
  <si>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</si>
  <si>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</si>
  <si>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</si>
  <si>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</si>
  <si>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</si>
  <si>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</si>
  <si>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配合タイトル</t>
  </si>
  <si>
    <t xml:space="preserve">北海道クリームベース</t>
  </si>
  <si>
    <t xml:space="preserve">豆乳ベース</t>
  </si>
  <si>
    <r>
      <rPr>
        <sz val="10"/>
        <color rgb="FF0000FF"/>
        <rFont val="Noto Sans CJK SC"/>
        <family val="2"/>
      </rPr>
      <t xml:space="preserve">低糖質（羅漢果</t>
    </r>
    <r>
      <rPr>
        <sz val="10"/>
        <color rgb="FF0000FF"/>
        <rFont val="Yu Gothic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置換）</t>
    </r>
  </si>
  <si>
    <t xml:space="preserve">配合目的・意図</t>
  </si>
  <si>
    <t xml:space="preserve">従来品の対照区</t>
  </si>
  <si>
    <t xml:space="preserve">乳成分低減の検討</t>
  </si>
  <si>
    <t xml:space="preserve">コストダウン検討</t>
  </si>
  <si>
    <t xml:space="preserve">配合結果</t>
  </si>
  <si>
    <t xml:space="preserve">甘味・コクとも良好</t>
  </si>
  <si>
    <t xml:space="preserve">コクがやや弱い</t>
  </si>
  <si>
    <t xml:space="preserve">甘味の質は近い、後味わずかに残る</t>
  </si>
  <si>
    <t xml:space="preserve">試作評価</t>
  </si>
  <si>
    <t xml:space="preserve">◎</t>
  </si>
  <si>
    <t xml:space="preserve">△</t>
  </si>
  <si>
    <t xml:space="preserve">○</t>
  </si>
  <si>
    <t xml:space="preserve">コーティングチョコ 口どけ改善</t>
  </si>
  <si>
    <t xml:space="preserve">作成中</t>
  </si>
  <si>
    <t xml:space="preserve">2026-07-18</t>
  </si>
  <si>
    <t xml:space="preserve">09:15</t>
  </si>
  <si>
    <t xml:space="preserve">2026-07-20</t>
  </si>
  <si>
    <t xml:space="preserve">夏季における口どけの重さを改善したい。</t>
  </si>
  <si>
    <r>
      <rPr>
        <sz val="10"/>
        <color rgb="FF0000FF"/>
        <rFont val="Noto Sans CJK SC"/>
        <family val="2"/>
      </rPr>
      <t xml:space="preserve">カカオ</t>
    </r>
    <r>
      <rPr>
        <sz val="10"/>
        <color rgb="FF0000FF"/>
        <rFont val="Yu Gothic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配合</t>
    </r>
  </si>
  <si>
    <r>
      <rPr>
        <sz val="10"/>
        <color rgb="FF0000FF"/>
        <rFont val="Noto Sans CJK SC"/>
        <family val="2"/>
      </rPr>
      <t xml:space="preserve">カカオ</t>
    </r>
    <r>
      <rPr>
        <sz val="10"/>
        <color rgb="FF0000FF"/>
        <rFont val="Yu Gothic"/>
        <family val="0"/>
        <charset val="1"/>
      </rPr>
      <t xml:space="preserve">65%</t>
    </r>
    <r>
      <rPr>
        <sz val="10"/>
        <color rgb="FF0000FF"/>
        <rFont val="Noto Sans CJK SC"/>
        <family val="2"/>
      </rPr>
      <t xml:space="preserve">配合</t>
    </r>
  </si>
  <si>
    <t xml:space="preserve">現行品</t>
  </si>
  <si>
    <t xml:space="preserve">口どけ改善狙い</t>
  </si>
  <si>
    <t xml:space="preserve">対照区</t>
  </si>
  <si>
    <t xml:space="preserve">口どけ改善、香り強すぎとの声も</t>
  </si>
  <si>
    <t xml:space="preserve">オーバーラン（空気含有率）検討</t>
  </si>
  <si>
    <t xml:space="preserve">2026-08-10</t>
  </si>
  <si>
    <t xml:space="preserve">2026-08-14</t>
  </si>
  <si>
    <t xml:space="preserve">11:00</t>
  </si>
  <si>
    <t xml:space="preserve">口当たりの軽さと形状保持のバランスを検証したい。</t>
  </si>
  <si>
    <r>
      <rPr>
        <sz val="10"/>
        <color rgb="FF0000FF"/>
        <rFont val="Noto Sans CJK SC"/>
        <family val="2"/>
      </rPr>
      <t xml:space="preserve">オーバーラン</t>
    </r>
    <r>
      <rPr>
        <sz val="10"/>
        <color rgb="FF0000FF"/>
        <rFont val="Yu Gothic"/>
        <family val="0"/>
        <charset val="1"/>
      </rPr>
      <t xml:space="preserve">80%</t>
    </r>
  </si>
  <si>
    <r>
      <rPr>
        <sz val="10"/>
        <color rgb="FF0000FF"/>
        <rFont val="Noto Sans CJK SC"/>
        <family val="2"/>
      </rPr>
      <t xml:space="preserve">オーバーラン</t>
    </r>
    <r>
      <rPr>
        <sz val="10"/>
        <color rgb="FF0000FF"/>
        <rFont val="Yu Gothic"/>
        <family val="0"/>
        <charset val="1"/>
      </rPr>
      <t xml:space="preserve">60%</t>
    </r>
  </si>
  <si>
    <r>
      <rPr>
        <sz val="10"/>
        <color rgb="FF0000FF"/>
        <rFont val="Noto Sans CJK SC"/>
        <family val="2"/>
      </rPr>
      <t xml:space="preserve">オーバーラン</t>
    </r>
    <r>
      <rPr>
        <sz val="10"/>
        <color rgb="FF0000FF"/>
        <rFont val="Yu Gothic"/>
        <family val="0"/>
        <charset val="1"/>
      </rPr>
      <t xml:space="preserve">100%</t>
    </r>
  </si>
  <si>
    <r>
      <rPr>
        <sz val="10"/>
        <color rgb="FF0000FF"/>
        <rFont val="Noto Sans CJK SC"/>
        <family val="2"/>
      </rPr>
      <t xml:space="preserve">オーバーラン</t>
    </r>
    <r>
      <rPr>
        <sz val="10"/>
        <color rgb="FF0000FF"/>
        <rFont val="Yu Gothic"/>
        <family val="0"/>
        <charset val="1"/>
      </rPr>
      <t xml:space="preserve">90%</t>
    </r>
  </si>
  <si>
    <r>
      <rPr>
        <sz val="10"/>
        <color rgb="FF0000FF"/>
        <rFont val="Noto Sans CJK SC"/>
        <family val="2"/>
      </rPr>
      <t xml:space="preserve">オーバーラン</t>
    </r>
    <r>
      <rPr>
        <sz val="10"/>
        <color rgb="FF0000FF"/>
        <rFont val="Yu Gothic"/>
        <family val="0"/>
        <charset val="1"/>
      </rPr>
      <t xml:space="preserve">70%</t>
    </r>
  </si>
  <si>
    <r>
      <rPr>
        <sz val="10"/>
        <color rgb="FF0000FF"/>
        <rFont val="Noto Sans CJK SC"/>
        <family val="2"/>
      </rPr>
      <t xml:space="preserve">オーバーラン</t>
    </r>
    <r>
      <rPr>
        <sz val="10"/>
        <color rgb="FF0000FF"/>
        <rFont val="Yu Gothic"/>
        <family val="0"/>
        <charset val="1"/>
      </rPr>
      <t xml:space="preserve">90%+</t>
    </r>
    <r>
      <rPr>
        <sz val="10"/>
        <color rgb="FF0000FF"/>
        <rFont val="Noto Sans CJK SC"/>
        <family val="2"/>
      </rPr>
      <t xml:space="preserve">安定剤増</t>
    </r>
  </si>
  <si>
    <t xml:space="preserve">現行品相当</t>
  </si>
  <si>
    <t xml:space="preserve">重めの口当たり</t>
  </si>
  <si>
    <t xml:space="preserve">軽い口当たり</t>
  </si>
  <si>
    <t xml:space="preserve">中間配合</t>
  </si>
  <si>
    <t xml:space="preserve">やや重めの中間</t>
  </si>
  <si>
    <t xml:space="preserve">形状保持強化</t>
  </si>
  <si>
    <t xml:space="preserve">コク増だが重い</t>
  </si>
  <si>
    <t xml:space="preserve">軽すぎて安っぽい印象</t>
  </si>
  <si>
    <t xml:space="preserve">バランス良好</t>
  </si>
  <si>
    <t xml:space="preserve">許容範囲</t>
  </si>
  <si>
    <t xml:space="preserve">型崩れ改善、再評価要</t>
  </si>
  <si>
    <t xml:space="preserve">保存性向上（安定剤比較）</t>
  </si>
  <si>
    <t xml:space="preserve">2026-08-25</t>
  </si>
  <si>
    <t xml:space="preserve">2026-09-01</t>
  </si>
  <si>
    <t xml:space="preserve">15:00</t>
  </si>
  <si>
    <t xml:space="preserve">流通期間延長のため氷結晶成長の抑制を狙う。</t>
  </si>
  <si>
    <r>
      <rPr>
        <sz val="10"/>
        <color rgb="FF0000FF"/>
        <rFont val="Noto Sans CJK SC"/>
        <family val="2"/>
      </rPr>
      <t xml:space="preserve">安定剤</t>
    </r>
    <r>
      <rPr>
        <sz val="10"/>
        <color rgb="FF0000FF"/>
        <rFont val="Yu Gothic"/>
        <family val="0"/>
        <charset val="1"/>
      </rPr>
      <t xml:space="preserve">B 0.2%</t>
    </r>
    <r>
      <rPr>
        <sz val="10"/>
        <color rgb="FF0000FF"/>
        <rFont val="Noto Sans CJK SC"/>
        <family val="2"/>
      </rPr>
      <t xml:space="preserve">配合で氷結晶の粗大化を抑制、採用決定。</t>
    </r>
  </si>
  <si>
    <r>
      <rPr>
        <sz val="10"/>
        <color rgb="FF0000FF"/>
        <rFont val="Noto Sans CJK SC"/>
        <family val="2"/>
      </rPr>
      <t xml:space="preserve">安定剤</t>
    </r>
    <r>
      <rPr>
        <sz val="10"/>
        <color rgb="FF0000FF"/>
        <rFont val="Yu Gothic"/>
        <family val="0"/>
        <charset val="1"/>
      </rPr>
      <t xml:space="preserve">A 0.1%</t>
    </r>
  </si>
  <si>
    <r>
      <rPr>
        <sz val="10"/>
        <color rgb="FF0000FF"/>
        <rFont val="Noto Sans CJK SC"/>
        <family val="2"/>
      </rPr>
      <t xml:space="preserve">安定剤</t>
    </r>
    <r>
      <rPr>
        <sz val="10"/>
        <color rgb="FF0000FF"/>
        <rFont val="Yu Gothic"/>
        <family val="0"/>
        <charset val="1"/>
      </rPr>
      <t xml:space="preserve">A 0.2%</t>
    </r>
  </si>
  <si>
    <r>
      <rPr>
        <sz val="10"/>
        <color rgb="FF0000FF"/>
        <rFont val="Noto Sans CJK SC"/>
        <family val="2"/>
      </rPr>
      <t xml:space="preserve">安定剤</t>
    </r>
    <r>
      <rPr>
        <sz val="10"/>
        <color rgb="FF0000FF"/>
        <rFont val="Yu Gothic"/>
        <family val="0"/>
        <charset val="1"/>
      </rPr>
      <t xml:space="preserve">B 0.2%</t>
    </r>
  </si>
  <si>
    <r>
      <rPr>
        <sz val="10"/>
        <color rgb="FF0000FF"/>
        <rFont val="Noto Sans CJK SC"/>
        <family val="2"/>
      </rPr>
      <t xml:space="preserve">安定剤</t>
    </r>
    <r>
      <rPr>
        <sz val="10"/>
        <color rgb="FF0000FF"/>
        <rFont val="Yu Gothic"/>
        <family val="0"/>
        <charset val="1"/>
      </rPr>
      <t xml:space="preserve">B 0.3%</t>
    </r>
  </si>
  <si>
    <t xml:space="preserve">増量検討</t>
  </si>
  <si>
    <t xml:space="preserve">種類変更検討</t>
  </si>
  <si>
    <t xml:space="preserve">さらに増量</t>
  </si>
  <si>
    <t xml:space="preserve">食感やや重い</t>
  </si>
  <si>
    <t xml:space="preserve">食感良好、保存性向上</t>
  </si>
  <si>
    <t xml:space="preserve">ガム感が出る</t>
  </si>
  <si>
    <r>
      <rPr>
        <b val="true"/>
        <sz val="10"/>
        <color rgb="FFFFFFFF"/>
        <rFont val="Noto Sans CJK SC"/>
        <family val="2"/>
      </rPr>
      <t xml:space="preserve">試作</t>
    </r>
    <r>
      <rPr>
        <b val="true"/>
        <sz val="10"/>
        <color rgb="FFFFFFFF"/>
        <rFont val="Yu Gothic"/>
        <family val="0"/>
        <charset val="1"/>
      </rPr>
      <t xml:space="preserve">No</t>
    </r>
  </si>
  <si>
    <t xml:space="preserve">シート名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</si>
</sst>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h:mm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sz val="10"/>
      <name val="Noto Sans CJK SC"/>
      <family val="2"/>
    </font>
    <font>
      <sz val="10"/>
      <name val="Yu Gothic"/>
      <family val="0"/>
      <charset val="1"/>
    </font>
    <font>
      <b val="true"/>
      <sz val="10"/>
      <color rgb="FFFFFFFF"/>
      <name val="Noto Sans CJK SC"/>
      <family val="2"/>
    </font>
    <font>
      <sz val="10"/>
      <color rgb="FF0000FF"/>
      <name val="Yu Gothic"/>
      <family val="0"/>
      <charset val="1"/>
    </font>
    <font>
      <sz val="10"/>
      <color rgb="FF0000FF"/>
      <name val="Noto Sans CJK SC"/>
      <family val="2"/>
    </font>
    <font>
      <b val="true"/>
      <sz val="10"/>
      <color rgb="FFFFFFFF"/>
      <name val="Yu Gothic"/>
      <family val="0"/>
      <charset val="1"/>
    </font>
    <font>
      <sz val="10"/>
      <color rgb="FF444441"/>
      <name val="Yu Gothic"/>
      <family val="0"/>
      <charset val="1"/>
    </font>
    <font>
      <b val="true"/>
      <sz val="11"/>
      <name val="Noto Sans CJK SC"/>
      <family val="2"/>
    </font>
    <font>
      <b val="true"/>
      <sz val="10"/>
      <color rgb="FF2C2C2A"/>
      <name val="Noto Sans CJK SC"/>
      <family val="2"/>
    </font>
    <font>
      <b val="true"/>
      <sz val="10"/>
      <color rgb="FF2C2C2A"/>
      <name val="Yu Gothic"/>
      <family val="0"/>
      <charset val="1"/>
    </font>
    <font>
      <b val="true"/>
      <sz val="10"/>
      <name val="Yu Gothic"/>
      <family val="0"/>
      <charset val="1"/>
    </font>
    <font>
      <u val="single"/>
      <sz val="10"/>
      <color rgb="FF185FA5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5F5E5A"/>
        <bgColor rgb="FF444441"/>
      </patternFill>
    </fill>
    <fill>
      <patternFill patternType="solid">
        <fgColor rgb="FFFFFFCC"/>
        <bgColor rgb="FFFFFFFF"/>
      </patternFill>
    </fill>
    <fill>
      <patternFill patternType="solid">
        <fgColor rgb="FFF1EFE8"/>
        <bgColor rgb="FFEEEDFE"/>
      </patternFill>
    </fill>
    <fill>
      <patternFill patternType="solid">
        <fgColor rgb="FFD3D1C7"/>
        <bgColor rgb="FFFFCC99"/>
      </patternFill>
    </fill>
    <fill>
      <patternFill patternType="solid">
        <fgColor rgb="FFEEEDFE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 diagonalUp="false" diagonalDown="false">
      <left style="thin">
        <color rgb="FFB4B2A9"/>
      </left>
      <right/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FFFCC"/>
      <rgbColor rgb="FFEEEDFE"/>
      <rgbColor rgb="FF660066"/>
      <rgbColor rgb="FFFF8080"/>
      <rgbColor rgb="FF185FA5"/>
      <rgbColor rgb="FFD3D1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444441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3" t="s">
        <v>3</v>
      </c>
      <c r="D1" s="3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D2" s="4" t="s">
        <v>5</v>
      </c>
      <c r="E2" s="4" t="s">
        <v>7</v>
      </c>
    </row>
    <row r="3" customFormat="false" ht="15" hidden="false" customHeight="false" outlineLevel="0" collapsed="false">
      <c r="A3" s="5" t="s">
        <v>8</v>
      </c>
      <c r="B3" s="6" t="s">
        <v>9</v>
      </c>
      <c r="D3" s="5" t="s">
        <v>10</v>
      </c>
      <c r="E3" s="6" t="s">
        <v>11</v>
      </c>
    </row>
    <row r="4" customFormat="false" ht="15" hidden="false" customHeight="false" outlineLevel="0" collapsed="false">
      <c r="A4" s="5" t="s">
        <v>12</v>
      </c>
      <c r="B4" s="6" t="s">
        <v>13</v>
      </c>
      <c r="D4" s="5" t="s">
        <v>14</v>
      </c>
      <c r="E4" s="6" t="s">
        <v>15</v>
      </c>
    </row>
    <row r="5" customFormat="false" ht="15" hidden="false" customHeight="false" outlineLevel="0" collapsed="false">
      <c r="A5" s="5"/>
      <c r="B5" s="6"/>
      <c r="D5" s="5"/>
      <c r="E5" s="6"/>
    </row>
    <row r="6" customFormat="false" ht="15" hidden="false" customHeight="false" outlineLevel="0" collapsed="false">
      <c r="A6" s="5"/>
      <c r="B6" s="6"/>
      <c r="D6" s="5"/>
      <c r="E6" s="6"/>
    </row>
    <row r="7" customFormat="false" ht="15" hidden="false" customHeight="false" outlineLevel="0" collapsed="false">
      <c r="A7" s="5"/>
      <c r="B7" s="6"/>
      <c r="D7" s="5"/>
      <c r="E7" s="6"/>
    </row>
    <row r="8" customFormat="false" ht="15" hidden="false" customHeight="false" outlineLevel="0" collapsed="false">
      <c r="A8" s="5"/>
      <c r="B8" s="6"/>
      <c r="D8" s="5"/>
      <c r="E8" s="6"/>
    </row>
    <row r="9" customFormat="false" ht="15" hidden="false" customHeight="false" outlineLevel="0" collapsed="false">
      <c r="A9" s="5"/>
      <c r="B9" s="6"/>
      <c r="D9" s="5"/>
      <c r="E9" s="6"/>
    </row>
    <row r="10" customFormat="false" ht="15" hidden="false" customHeight="false" outlineLevel="0" collapsed="false">
      <c r="A10" s="5"/>
      <c r="B10" s="6"/>
      <c r="D10" s="5"/>
      <c r="E10" s="6"/>
    </row>
    <row r="11" customFormat="false" ht="15" hidden="false" customHeight="false" outlineLevel="0" collapsed="false">
      <c r="A11" s="5"/>
      <c r="B11" s="6"/>
      <c r="D11" s="5"/>
      <c r="E11" s="6"/>
    </row>
    <row r="12" customFormat="false" ht="15" hidden="false" customHeight="false" outlineLevel="0" collapsed="false">
      <c r="A12" s="5"/>
      <c r="B12" s="6"/>
      <c r="D12" s="5"/>
      <c r="E12" s="6"/>
    </row>
    <row r="13" customFormat="false" ht="15" hidden="false" customHeight="false" outlineLevel="0" collapsed="false">
      <c r="A13" s="5"/>
      <c r="B13" s="6"/>
      <c r="D13" s="5"/>
      <c r="E13" s="6"/>
    </row>
    <row r="14" customFormat="false" ht="15" hidden="false" customHeight="false" outlineLevel="0" collapsed="false">
      <c r="A14" s="5"/>
      <c r="B14" s="6"/>
      <c r="D14" s="5"/>
      <c r="E14" s="6"/>
    </row>
    <row r="15" customFormat="false" ht="15" hidden="false" customHeight="false" outlineLevel="0" collapsed="false">
      <c r="A15" s="5"/>
      <c r="B15" s="6"/>
      <c r="D15" s="5"/>
      <c r="E15" s="6"/>
    </row>
    <row r="16" customFormat="false" ht="15" hidden="false" customHeight="false" outlineLevel="0" collapsed="false">
      <c r="A16" s="5"/>
      <c r="B16" s="6"/>
      <c r="D16" s="5"/>
      <c r="E16" s="6"/>
    </row>
    <row r="17" customFormat="false" ht="15" hidden="false" customHeight="false" outlineLevel="0" collapsed="false">
      <c r="A17" s="5"/>
      <c r="B17" s="6"/>
      <c r="D17" s="5"/>
      <c r="E1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7" t="s">
        <v>16</v>
      </c>
      <c r="B1" s="7"/>
      <c r="C1" s="7"/>
      <c r="D1" s="7"/>
    </row>
    <row r="3" customFormat="false" ht="15" hidden="false" customHeight="false" outlineLevel="0" collapsed="false">
      <c r="A3" s="8" t="s">
        <v>17</v>
      </c>
      <c r="B3" s="9" t="s">
        <v>18</v>
      </c>
      <c r="C3" s="8" t="s">
        <v>19</v>
      </c>
      <c r="D3" s="10" t="s">
        <v>20</v>
      </c>
    </row>
    <row r="4" customFormat="false" ht="15" hidden="false" customHeight="false" outlineLevel="0" collapsed="false">
      <c r="A4" s="8" t="s">
        <v>21</v>
      </c>
      <c r="B4" s="9" t="s">
        <v>22</v>
      </c>
      <c r="C4" s="8" t="s">
        <v>23</v>
      </c>
      <c r="D4" s="9" t="s">
        <v>8</v>
      </c>
    </row>
    <row r="5" customFormat="false" ht="15" hidden="false" customHeight="false" outlineLevel="0" collapsed="false">
      <c r="A5" s="8" t="s">
        <v>24</v>
      </c>
      <c r="B5" s="10" t="s">
        <v>25</v>
      </c>
      <c r="C5" s="8" t="s">
        <v>26</v>
      </c>
      <c r="D5" s="9" t="s">
        <v>10</v>
      </c>
    </row>
    <row r="6" customFormat="false" ht="15" hidden="false" customHeight="false" outlineLevel="0" collapsed="false">
      <c r="A6" s="8" t="s">
        <v>27</v>
      </c>
      <c r="B6" s="11" t="s">
        <v>28</v>
      </c>
      <c r="C6" s="8" t="s">
        <v>29</v>
      </c>
      <c r="D6" s="12" t="s">
        <v>30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D4" type="list">
      <formula1>カテゴリーコード一覧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6" min="3" style="0" width="10"/>
  </cols>
  <sheetData>
    <row r="1" customFormat="false" ht="15" hidden="false" customHeight="false" outlineLevel="0" collapsed="false">
      <c r="A1" s="13" t="s">
        <v>31</v>
      </c>
      <c r="B1" s="14" t="str">
        <f aca="false">試作一覧!C2</f>
        <v>RK_tnk_202607021000_1</v>
      </c>
    </row>
    <row r="2" customFormat="false" ht="15" hidden="false" customHeight="false" outlineLevel="0" collapsed="false">
      <c r="A2" s="13" t="s">
        <v>32</v>
      </c>
      <c r="B2" s="15" t="s">
        <v>33</v>
      </c>
      <c r="C2" s="15"/>
      <c r="D2" s="15"/>
      <c r="E2" s="15"/>
      <c r="F2" s="15"/>
    </row>
    <row r="3" customFormat="false" ht="15" hidden="false" customHeight="false" outlineLevel="0" collapsed="false">
      <c r="A3" s="13" t="s">
        <v>34</v>
      </c>
      <c r="B3" s="6" t="s">
        <v>35</v>
      </c>
    </row>
    <row r="4" customFormat="false" ht="29.85" hidden="false" customHeight="false" outlineLevel="0" collapsed="false">
      <c r="A4" s="13" t="s">
        <v>24</v>
      </c>
      <c r="B4" s="6" t="s">
        <v>25</v>
      </c>
      <c r="C4" s="13" t="s">
        <v>26</v>
      </c>
      <c r="D4" s="16" t="s">
        <v>10</v>
      </c>
    </row>
    <row r="5" customFormat="false" ht="15" hidden="false" customHeight="false" outlineLevel="0" collapsed="false">
      <c r="A5" s="13" t="s">
        <v>27</v>
      </c>
      <c r="B5" s="17" t="s">
        <v>36</v>
      </c>
      <c r="C5" s="13" t="s">
        <v>29</v>
      </c>
      <c r="D5" s="18" t="s">
        <v>37</v>
      </c>
    </row>
    <row r="6" customFormat="false" ht="15" hidden="false" customHeight="false" outlineLevel="0" collapsed="false">
      <c r="A6" s="13" t="s">
        <v>38</v>
      </c>
      <c r="B6" s="17" t="s">
        <v>39</v>
      </c>
      <c r="C6" s="13" t="s">
        <v>40</v>
      </c>
      <c r="D6" s="18" t="s">
        <v>41</v>
      </c>
    </row>
    <row r="7" customFormat="false" ht="15" hidden="false" customHeight="false" outlineLevel="0" collapsed="false">
      <c r="A7" s="13" t="s">
        <v>42</v>
      </c>
      <c r="B7" s="17" t="s">
        <v>39</v>
      </c>
    </row>
    <row r="8" customFormat="false" ht="31.5" hidden="false" customHeight="true" outlineLevel="0" collapsed="false">
      <c r="A8" s="13" t="s">
        <v>43</v>
      </c>
      <c r="B8" s="19" t="s">
        <v>44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31.5" hidden="false" customHeight="true" outlineLevel="0" collapsed="false">
      <c r="A9" s="13" t="s">
        <v>45</v>
      </c>
      <c r="B9" s="19" t="s">
        <v>46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31.5" hidden="false" customHeight="true" outlineLevel="0" collapsed="false">
      <c r="A10" s="13" t="s">
        <v>47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2" customFormat="false" ht="15" hidden="false" customHeight="false" outlineLevel="0" collapsed="false">
      <c r="A12" s="20" t="s">
        <v>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5" hidden="false" customHeight="false" outlineLevel="0" collapsed="false">
      <c r="A13" s="21" t="s">
        <v>49</v>
      </c>
      <c r="B13" s="21"/>
      <c r="C13" s="22" t="s">
        <v>50</v>
      </c>
      <c r="D13" s="22"/>
      <c r="E13" s="22" t="s">
        <v>51</v>
      </c>
      <c r="F13" s="22"/>
      <c r="G13" s="22" t="s">
        <v>52</v>
      </c>
      <c r="H13" s="22"/>
      <c r="I13" s="22" t="s">
        <v>53</v>
      </c>
      <c r="J13" s="22"/>
      <c r="K13" s="22" t="s">
        <v>54</v>
      </c>
      <c r="L13" s="22"/>
      <c r="M13" s="22" t="s">
        <v>55</v>
      </c>
      <c r="N13" s="22"/>
      <c r="O13" s="22" t="s">
        <v>56</v>
      </c>
      <c r="P13" s="22"/>
      <c r="Q13" s="22" t="s">
        <v>57</v>
      </c>
      <c r="R13" s="22"/>
      <c r="S13" s="22" t="s">
        <v>58</v>
      </c>
      <c r="T13" s="22"/>
      <c r="U13" s="22" t="s">
        <v>59</v>
      </c>
      <c r="V13" s="22"/>
      <c r="W13" s="22" t="s">
        <v>60</v>
      </c>
      <c r="X13" s="22"/>
      <c r="Y13" s="22" t="s">
        <v>61</v>
      </c>
      <c r="Z13" s="22"/>
    </row>
    <row r="14" customFormat="false" ht="29.85" hidden="false" customHeight="true" outlineLevel="0" collapsed="false">
      <c r="A14" s="21" t="s">
        <v>62</v>
      </c>
      <c r="B14" s="21"/>
      <c r="C14" s="23" t="s">
        <v>63</v>
      </c>
      <c r="D14" s="23"/>
      <c r="E14" s="23" t="s">
        <v>64</v>
      </c>
      <c r="F14" s="23"/>
      <c r="G14" s="23" t="s">
        <v>65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customFormat="false" ht="15" hidden="false" customHeight="true" outlineLevel="0" collapsed="false">
      <c r="A15" s="21" t="s">
        <v>66</v>
      </c>
      <c r="B15" s="21"/>
      <c r="C15" s="23" t="s">
        <v>67</v>
      </c>
      <c r="D15" s="23"/>
      <c r="E15" s="23" t="s">
        <v>68</v>
      </c>
      <c r="F15" s="23"/>
      <c r="G15" s="23" t="s">
        <v>69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customFormat="false" ht="29.85" hidden="false" customHeight="true" outlineLevel="0" collapsed="false">
      <c r="A16" s="21" t="s">
        <v>70</v>
      </c>
      <c r="B16" s="21"/>
      <c r="C16" s="23" t="s">
        <v>71</v>
      </c>
      <c r="D16" s="23"/>
      <c r="E16" s="23" t="s">
        <v>72</v>
      </c>
      <c r="F16" s="23"/>
      <c r="G16" s="23" t="s">
        <v>73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customFormat="false" ht="15" hidden="false" customHeight="true" outlineLevel="0" collapsed="false">
      <c r="A17" s="21" t="s">
        <v>74</v>
      </c>
      <c r="B17" s="21"/>
      <c r="C17" s="24" t="s">
        <v>75</v>
      </c>
      <c r="D17" s="24"/>
      <c r="E17" s="24" t="s">
        <v>76</v>
      </c>
      <c r="F17" s="24"/>
      <c r="G17" s="24" t="s">
        <v>77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</sheetData>
  <mergeCells count="70">
    <mergeCell ref="B2:F2"/>
    <mergeCell ref="B8:Z8"/>
    <mergeCell ref="B9:Z9"/>
    <mergeCell ref="B10:Z10"/>
    <mergeCell ref="A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count="2">
    <dataValidation allowBlank="true" errorStyle="stop" operator="between" showDropDown="false" showErrorMessage="false" showInputMessage="false" sqref="B3" type="list">
      <formula1>"作成中,最終確定"</formula1>
      <formula2>0</formula2>
    </dataValidation>
    <dataValidation allowBlank="true" errorStyle="stop" operator="between" showDropDown="false" showErrorMessage="false" showInputMessage="false" sqref="D4" type="list">
      <formula1>作成者コード一覧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6" min="3" style="0" width="10"/>
  </cols>
  <sheetData>
    <row r="1" customFormat="false" ht="15" hidden="false" customHeight="false" outlineLevel="0" collapsed="false">
      <c r="A1" s="13" t="s">
        <v>31</v>
      </c>
      <c r="B1" s="14" t="str">
        <f aca="false">試作一覧!C3</f>
        <v>RK_tnk_202607180915_2</v>
      </c>
    </row>
    <row r="2" customFormat="false" ht="15" hidden="false" customHeight="false" outlineLevel="0" collapsed="false">
      <c r="A2" s="13" t="s">
        <v>32</v>
      </c>
      <c r="B2" s="15" t="s">
        <v>78</v>
      </c>
      <c r="C2" s="15"/>
      <c r="D2" s="15"/>
      <c r="E2" s="15"/>
      <c r="F2" s="15"/>
    </row>
    <row r="3" customFormat="false" ht="15" hidden="false" customHeight="false" outlineLevel="0" collapsed="false">
      <c r="A3" s="13" t="s">
        <v>34</v>
      </c>
      <c r="B3" s="6" t="s">
        <v>79</v>
      </c>
    </row>
    <row r="4" customFormat="false" ht="29.85" hidden="false" customHeight="false" outlineLevel="0" collapsed="false">
      <c r="A4" s="13" t="s">
        <v>24</v>
      </c>
      <c r="B4" s="6" t="s">
        <v>25</v>
      </c>
      <c r="C4" s="13" t="s">
        <v>26</v>
      </c>
      <c r="D4" s="16" t="s">
        <v>10</v>
      </c>
    </row>
    <row r="5" customFormat="false" ht="15" hidden="false" customHeight="false" outlineLevel="0" collapsed="false">
      <c r="A5" s="13" t="s">
        <v>27</v>
      </c>
      <c r="B5" s="17" t="s">
        <v>80</v>
      </c>
      <c r="C5" s="13" t="s">
        <v>29</v>
      </c>
      <c r="D5" s="18" t="s">
        <v>81</v>
      </c>
    </row>
    <row r="6" customFormat="false" ht="15" hidden="false" customHeight="false" outlineLevel="0" collapsed="false">
      <c r="A6" s="13" t="s">
        <v>38</v>
      </c>
      <c r="B6" s="17" t="s">
        <v>82</v>
      </c>
      <c r="C6" s="13" t="s">
        <v>40</v>
      </c>
      <c r="D6" s="18" t="s">
        <v>37</v>
      </c>
    </row>
    <row r="7" customFormat="false" ht="15" hidden="false" customHeight="false" outlineLevel="0" collapsed="false">
      <c r="A7" s="13" t="s">
        <v>42</v>
      </c>
      <c r="B7" s="17"/>
    </row>
    <row r="8" customFormat="false" ht="31.5" hidden="false" customHeight="true" outlineLevel="0" collapsed="false">
      <c r="A8" s="13" t="s">
        <v>43</v>
      </c>
      <c r="B8" s="19" t="s">
        <v>83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31.5" hidden="false" customHeight="true" outlineLevel="0" collapsed="false">
      <c r="A9" s="13" t="s">
        <v>45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31.5" hidden="false" customHeight="true" outlineLevel="0" collapsed="false">
      <c r="A10" s="13" t="s">
        <v>47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2" customFormat="false" ht="15" hidden="false" customHeight="false" outlineLevel="0" collapsed="false">
      <c r="A12" s="20" t="s">
        <v>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5" hidden="false" customHeight="false" outlineLevel="0" collapsed="false">
      <c r="A13" s="21" t="s">
        <v>49</v>
      </c>
      <c r="B13" s="21"/>
      <c r="C13" s="22" t="s">
        <v>50</v>
      </c>
      <c r="D13" s="22"/>
      <c r="E13" s="22" t="s">
        <v>51</v>
      </c>
      <c r="F13" s="22"/>
      <c r="G13" s="22" t="s">
        <v>52</v>
      </c>
      <c r="H13" s="22"/>
      <c r="I13" s="22" t="s">
        <v>53</v>
      </c>
      <c r="J13" s="22"/>
      <c r="K13" s="22" t="s">
        <v>54</v>
      </c>
      <c r="L13" s="22"/>
      <c r="M13" s="22" t="s">
        <v>55</v>
      </c>
      <c r="N13" s="22"/>
      <c r="O13" s="22" t="s">
        <v>56</v>
      </c>
      <c r="P13" s="22"/>
      <c r="Q13" s="22" t="s">
        <v>57</v>
      </c>
      <c r="R13" s="22"/>
      <c r="S13" s="22" t="s">
        <v>58</v>
      </c>
      <c r="T13" s="22"/>
      <c r="U13" s="22" t="s">
        <v>59</v>
      </c>
      <c r="V13" s="22"/>
      <c r="W13" s="22" t="s">
        <v>60</v>
      </c>
      <c r="X13" s="22"/>
      <c r="Y13" s="22" t="s">
        <v>61</v>
      </c>
      <c r="Z13" s="22"/>
    </row>
    <row r="14" customFormat="false" ht="15" hidden="false" customHeight="true" outlineLevel="0" collapsed="false">
      <c r="A14" s="21" t="s">
        <v>62</v>
      </c>
      <c r="B14" s="21"/>
      <c r="C14" s="23" t="s">
        <v>84</v>
      </c>
      <c r="D14" s="23"/>
      <c r="E14" s="23" t="s">
        <v>85</v>
      </c>
      <c r="F14" s="2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" hidden="false" customHeight="true" outlineLevel="0" collapsed="false">
      <c r="A15" s="21" t="s">
        <v>66</v>
      </c>
      <c r="B15" s="21"/>
      <c r="C15" s="23" t="s">
        <v>86</v>
      </c>
      <c r="D15" s="23"/>
      <c r="E15" s="23" t="s">
        <v>87</v>
      </c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29.85" hidden="false" customHeight="true" outlineLevel="0" collapsed="false">
      <c r="A16" s="21" t="s">
        <v>70</v>
      </c>
      <c r="B16" s="21"/>
      <c r="C16" s="23" t="s">
        <v>88</v>
      </c>
      <c r="D16" s="23"/>
      <c r="E16" s="23" t="s">
        <v>89</v>
      </c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" hidden="false" customHeight="true" outlineLevel="0" collapsed="false">
      <c r="A17" s="21" t="s">
        <v>74</v>
      </c>
      <c r="B17" s="21"/>
      <c r="C17" s="24" t="s">
        <v>77</v>
      </c>
      <c r="D17" s="24"/>
      <c r="E17" s="24" t="s">
        <v>77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</sheetData>
  <mergeCells count="70">
    <mergeCell ref="B2:F2"/>
    <mergeCell ref="B8:Z8"/>
    <mergeCell ref="B9:Z9"/>
    <mergeCell ref="B10:Z10"/>
    <mergeCell ref="A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count="2">
    <dataValidation allowBlank="true" errorStyle="stop" operator="between" showDropDown="false" showErrorMessage="false" showInputMessage="false" sqref="B3" type="list">
      <formula1>"作成中,最終確定"</formula1>
      <formula2>0</formula2>
    </dataValidation>
    <dataValidation allowBlank="true" errorStyle="stop" operator="between" showDropDown="false" showErrorMessage="false" showInputMessage="false" sqref="D4" type="list">
      <formula1>作成者コード一覧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6" min="3" style="0" width="10"/>
  </cols>
  <sheetData>
    <row r="1" customFormat="false" ht="15" hidden="false" customHeight="false" outlineLevel="0" collapsed="false">
      <c r="A1" s="13" t="s">
        <v>31</v>
      </c>
      <c r="B1" s="14" t="str">
        <f aca="false">試作一覧!C4</f>
        <v>RK_tnk_202608101000_3</v>
      </c>
    </row>
    <row r="2" customFormat="false" ht="15" hidden="false" customHeight="false" outlineLevel="0" collapsed="false">
      <c r="A2" s="13" t="s">
        <v>32</v>
      </c>
      <c r="B2" s="15" t="s">
        <v>90</v>
      </c>
      <c r="C2" s="15"/>
      <c r="D2" s="15"/>
      <c r="E2" s="15"/>
      <c r="F2" s="15"/>
    </row>
    <row r="3" customFormat="false" ht="15" hidden="false" customHeight="false" outlineLevel="0" collapsed="false">
      <c r="A3" s="13" t="s">
        <v>34</v>
      </c>
      <c r="B3" s="6" t="s">
        <v>79</v>
      </c>
    </row>
    <row r="4" customFormat="false" ht="29.85" hidden="false" customHeight="false" outlineLevel="0" collapsed="false">
      <c r="A4" s="13" t="s">
        <v>24</v>
      </c>
      <c r="B4" s="6" t="s">
        <v>25</v>
      </c>
      <c r="C4" s="13" t="s">
        <v>26</v>
      </c>
      <c r="D4" s="16" t="s">
        <v>10</v>
      </c>
    </row>
    <row r="5" customFormat="false" ht="15" hidden="false" customHeight="false" outlineLevel="0" collapsed="false">
      <c r="A5" s="13" t="s">
        <v>27</v>
      </c>
      <c r="B5" s="17" t="s">
        <v>91</v>
      </c>
      <c r="C5" s="13" t="s">
        <v>29</v>
      </c>
      <c r="D5" s="18" t="s">
        <v>37</v>
      </c>
    </row>
    <row r="6" customFormat="false" ht="15" hidden="false" customHeight="false" outlineLevel="0" collapsed="false">
      <c r="A6" s="13" t="s">
        <v>38</v>
      </c>
      <c r="B6" s="17" t="s">
        <v>92</v>
      </c>
      <c r="C6" s="13" t="s">
        <v>40</v>
      </c>
      <c r="D6" s="18" t="s">
        <v>93</v>
      </c>
    </row>
    <row r="7" customFormat="false" ht="15" hidden="false" customHeight="false" outlineLevel="0" collapsed="false">
      <c r="A7" s="13" t="s">
        <v>42</v>
      </c>
      <c r="B7" s="17"/>
    </row>
    <row r="8" customFormat="false" ht="31.5" hidden="false" customHeight="true" outlineLevel="0" collapsed="false">
      <c r="A8" s="13" t="s">
        <v>43</v>
      </c>
      <c r="B8" s="19" t="s">
        <v>94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31.5" hidden="false" customHeight="true" outlineLevel="0" collapsed="false">
      <c r="A9" s="13" t="s">
        <v>45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31.5" hidden="false" customHeight="true" outlineLevel="0" collapsed="false">
      <c r="A10" s="13" t="s">
        <v>47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2" customFormat="false" ht="15" hidden="false" customHeight="false" outlineLevel="0" collapsed="false">
      <c r="A12" s="20" t="s">
        <v>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5" hidden="false" customHeight="false" outlineLevel="0" collapsed="false">
      <c r="A13" s="21" t="s">
        <v>49</v>
      </c>
      <c r="B13" s="21"/>
      <c r="C13" s="22" t="s">
        <v>50</v>
      </c>
      <c r="D13" s="22"/>
      <c r="E13" s="22" t="s">
        <v>51</v>
      </c>
      <c r="F13" s="22"/>
      <c r="G13" s="22" t="s">
        <v>52</v>
      </c>
      <c r="H13" s="22"/>
      <c r="I13" s="22" t="s">
        <v>53</v>
      </c>
      <c r="J13" s="22"/>
      <c r="K13" s="22" t="s">
        <v>54</v>
      </c>
      <c r="L13" s="22"/>
      <c r="M13" s="22" t="s">
        <v>55</v>
      </c>
      <c r="N13" s="22"/>
      <c r="O13" s="22" t="s">
        <v>56</v>
      </c>
      <c r="P13" s="22"/>
      <c r="Q13" s="22" t="s">
        <v>57</v>
      </c>
      <c r="R13" s="22"/>
      <c r="S13" s="22" t="s">
        <v>58</v>
      </c>
      <c r="T13" s="22"/>
      <c r="U13" s="22" t="s">
        <v>59</v>
      </c>
      <c r="V13" s="22"/>
      <c r="W13" s="22" t="s">
        <v>60</v>
      </c>
      <c r="X13" s="22"/>
      <c r="Y13" s="22" t="s">
        <v>61</v>
      </c>
      <c r="Z13" s="22"/>
    </row>
    <row r="14" customFormat="false" ht="29.85" hidden="false" customHeight="true" outlineLevel="0" collapsed="false">
      <c r="A14" s="21" t="s">
        <v>62</v>
      </c>
      <c r="B14" s="21"/>
      <c r="C14" s="23" t="s">
        <v>95</v>
      </c>
      <c r="D14" s="23"/>
      <c r="E14" s="23" t="s">
        <v>96</v>
      </c>
      <c r="F14" s="23"/>
      <c r="G14" s="23" t="s">
        <v>97</v>
      </c>
      <c r="H14" s="23"/>
      <c r="I14" s="23" t="s">
        <v>98</v>
      </c>
      <c r="J14" s="23"/>
      <c r="K14" s="23" t="s">
        <v>99</v>
      </c>
      <c r="L14" s="23"/>
      <c r="M14" s="23" t="s">
        <v>100</v>
      </c>
      <c r="N14" s="23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" hidden="false" customHeight="true" outlineLevel="0" collapsed="false">
      <c r="A15" s="21" t="s">
        <v>66</v>
      </c>
      <c r="B15" s="21"/>
      <c r="C15" s="23" t="s">
        <v>101</v>
      </c>
      <c r="D15" s="23"/>
      <c r="E15" s="23" t="s">
        <v>102</v>
      </c>
      <c r="F15" s="23"/>
      <c r="G15" s="23" t="s">
        <v>103</v>
      </c>
      <c r="H15" s="23"/>
      <c r="I15" s="23" t="s">
        <v>104</v>
      </c>
      <c r="J15" s="23"/>
      <c r="K15" s="23" t="s">
        <v>105</v>
      </c>
      <c r="L15" s="23"/>
      <c r="M15" s="23" t="s">
        <v>106</v>
      </c>
      <c r="N15" s="23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" hidden="false" customHeight="true" outlineLevel="0" collapsed="false">
      <c r="A16" s="21" t="s">
        <v>70</v>
      </c>
      <c r="B16" s="21"/>
      <c r="C16" s="23" t="s">
        <v>88</v>
      </c>
      <c r="D16" s="23"/>
      <c r="E16" s="23" t="s">
        <v>107</v>
      </c>
      <c r="F16" s="23"/>
      <c r="G16" s="23" t="s">
        <v>108</v>
      </c>
      <c r="H16" s="23"/>
      <c r="I16" s="23" t="s">
        <v>109</v>
      </c>
      <c r="J16" s="23"/>
      <c r="K16" s="23" t="s">
        <v>110</v>
      </c>
      <c r="L16" s="23"/>
      <c r="M16" s="23" t="s">
        <v>111</v>
      </c>
      <c r="N16" s="23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" hidden="false" customHeight="true" outlineLevel="0" collapsed="false">
      <c r="A17" s="21" t="s">
        <v>74</v>
      </c>
      <c r="B17" s="21"/>
      <c r="C17" s="24" t="s">
        <v>77</v>
      </c>
      <c r="D17" s="24"/>
      <c r="E17" s="24" t="s">
        <v>76</v>
      </c>
      <c r="F17" s="24"/>
      <c r="G17" s="24" t="s">
        <v>76</v>
      </c>
      <c r="H17" s="24"/>
      <c r="I17" s="24" t="s">
        <v>77</v>
      </c>
      <c r="J17" s="24"/>
      <c r="K17" s="24" t="s">
        <v>77</v>
      </c>
      <c r="L17" s="24"/>
      <c r="M17" s="24" t="s">
        <v>77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</sheetData>
  <mergeCells count="70">
    <mergeCell ref="B2:F2"/>
    <mergeCell ref="B8:Z8"/>
    <mergeCell ref="B9:Z9"/>
    <mergeCell ref="B10:Z10"/>
    <mergeCell ref="A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count="2">
    <dataValidation allowBlank="true" errorStyle="stop" operator="between" showDropDown="false" showErrorMessage="false" showInputMessage="false" sqref="B3" type="list">
      <formula1>"作成中,最終確定"</formula1>
      <formula2>0</formula2>
    </dataValidation>
    <dataValidation allowBlank="true" errorStyle="stop" operator="between" showDropDown="false" showErrorMessage="false" showInputMessage="false" sqref="D4" type="list">
      <formula1>作成者コード一覧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6" min="3" style="0" width="10"/>
  </cols>
  <sheetData>
    <row r="1" customFormat="false" ht="15" hidden="false" customHeight="false" outlineLevel="0" collapsed="false">
      <c r="A1" s="13" t="s">
        <v>31</v>
      </c>
      <c r="B1" s="14" t="str">
        <f aca="false">試作一覧!C5</f>
        <v>RK_tnk_202608251400_4</v>
      </c>
    </row>
    <row r="2" customFormat="false" ht="15" hidden="false" customHeight="false" outlineLevel="0" collapsed="false">
      <c r="A2" s="13" t="s">
        <v>32</v>
      </c>
      <c r="B2" s="15" t="s">
        <v>112</v>
      </c>
      <c r="C2" s="15"/>
      <c r="D2" s="15"/>
      <c r="E2" s="15"/>
      <c r="F2" s="15"/>
    </row>
    <row r="3" customFormat="false" ht="15" hidden="false" customHeight="false" outlineLevel="0" collapsed="false">
      <c r="A3" s="13" t="s">
        <v>34</v>
      </c>
      <c r="B3" s="6" t="s">
        <v>35</v>
      </c>
    </row>
    <row r="4" customFormat="false" ht="29.85" hidden="false" customHeight="false" outlineLevel="0" collapsed="false">
      <c r="A4" s="13" t="s">
        <v>24</v>
      </c>
      <c r="B4" s="6" t="s">
        <v>25</v>
      </c>
      <c r="C4" s="13" t="s">
        <v>26</v>
      </c>
      <c r="D4" s="16" t="s">
        <v>10</v>
      </c>
    </row>
    <row r="5" customFormat="false" ht="15" hidden="false" customHeight="false" outlineLevel="0" collapsed="false">
      <c r="A5" s="13" t="s">
        <v>27</v>
      </c>
      <c r="B5" s="17" t="s">
        <v>113</v>
      </c>
      <c r="C5" s="13" t="s">
        <v>29</v>
      </c>
      <c r="D5" s="18" t="s">
        <v>41</v>
      </c>
    </row>
    <row r="6" customFormat="false" ht="15" hidden="false" customHeight="false" outlineLevel="0" collapsed="false">
      <c r="A6" s="13" t="s">
        <v>38</v>
      </c>
      <c r="B6" s="17" t="s">
        <v>114</v>
      </c>
      <c r="C6" s="13" t="s">
        <v>40</v>
      </c>
      <c r="D6" s="18" t="s">
        <v>115</v>
      </c>
    </row>
    <row r="7" customFormat="false" ht="15" hidden="false" customHeight="false" outlineLevel="0" collapsed="false">
      <c r="A7" s="13" t="s">
        <v>42</v>
      </c>
      <c r="B7" s="17" t="s">
        <v>114</v>
      </c>
    </row>
    <row r="8" customFormat="false" ht="31.5" hidden="false" customHeight="true" outlineLevel="0" collapsed="false">
      <c r="A8" s="13" t="s">
        <v>43</v>
      </c>
      <c r="B8" s="19" t="s">
        <v>116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31.5" hidden="false" customHeight="true" outlineLevel="0" collapsed="false">
      <c r="A9" s="13" t="s">
        <v>45</v>
      </c>
      <c r="B9" s="19" t="s">
        <v>117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31.5" hidden="false" customHeight="true" outlineLevel="0" collapsed="false">
      <c r="A10" s="13" t="s">
        <v>47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2" customFormat="false" ht="15" hidden="false" customHeight="false" outlineLevel="0" collapsed="false">
      <c r="A12" s="20" t="s">
        <v>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5" hidden="false" customHeight="false" outlineLevel="0" collapsed="false">
      <c r="A13" s="21" t="s">
        <v>49</v>
      </c>
      <c r="B13" s="21"/>
      <c r="C13" s="22" t="s">
        <v>50</v>
      </c>
      <c r="D13" s="22"/>
      <c r="E13" s="22" t="s">
        <v>51</v>
      </c>
      <c r="F13" s="22"/>
      <c r="G13" s="22" t="s">
        <v>52</v>
      </c>
      <c r="H13" s="22"/>
      <c r="I13" s="22" t="s">
        <v>53</v>
      </c>
      <c r="J13" s="22"/>
      <c r="K13" s="22" t="s">
        <v>54</v>
      </c>
      <c r="L13" s="22"/>
      <c r="M13" s="22" t="s">
        <v>55</v>
      </c>
      <c r="N13" s="22"/>
      <c r="O13" s="22" t="s">
        <v>56</v>
      </c>
      <c r="P13" s="22"/>
      <c r="Q13" s="22" t="s">
        <v>57</v>
      </c>
      <c r="R13" s="22"/>
      <c r="S13" s="22" t="s">
        <v>58</v>
      </c>
      <c r="T13" s="22"/>
      <c r="U13" s="22" t="s">
        <v>59</v>
      </c>
      <c r="V13" s="22"/>
      <c r="W13" s="22" t="s">
        <v>60</v>
      </c>
      <c r="X13" s="22"/>
      <c r="Y13" s="22" t="s">
        <v>61</v>
      </c>
      <c r="Z13" s="22"/>
    </row>
    <row r="14" customFormat="false" ht="15" hidden="false" customHeight="true" outlineLevel="0" collapsed="false">
      <c r="A14" s="21" t="s">
        <v>62</v>
      </c>
      <c r="B14" s="21"/>
      <c r="C14" s="23" t="s">
        <v>118</v>
      </c>
      <c r="D14" s="23"/>
      <c r="E14" s="23" t="s">
        <v>119</v>
      </c>
      <c r="F14" s="23"/>
      <c r="G14" s="23" t="s">
        <v>120</v>
      </c>
      <c r="H14" s="23"/>
      <c r="I14" s="23" t="s">
        <v>121</v>
      </c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" hidden="false" customHeight="true" outlineLevel="0" collapsed="false">
      <c r="A15" s="21" t="s">
        <v>66</v>
      </c>
      <c r="B15" s="21"/>
      <c r="C15" s="23" t="s">
        <v>86</v>
      </c>
      <c r="D15" s="23"/>
      <c r="E15" s="23" t="s">
        <v>122</v>
      </c>
      <c r="F15" s="23"/>
      <c r="G15" s="23" t="s">
        <v>123</v>
      </c>
      <c r="H15" s="23"/>
      <c r="I15" s="23" t="s">
        <v>124</v>
      </c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" hidden="false" customHeight="true" outlineLevel="0" collapsed="false">
      <c r="A16" s="21" t="s">
        <v>70</v>
      </c>
      <c r="B16" s="21"/>
      <c r="C16" s="23" t="s">
        <v>88</v>
      </c>
      <c r="D16" s="23"/>
      <c r="E16" s="23" t="s">
        <v>125</v>
      </c>
      <c r="F16" s="23"/>
      <c r="G16" s="23" t="s">
        <v>126</v>
      </c>
      <c r="H16" s="23"/>
      <c r="I16" s="23" t="s">
        <v>127</v>
      </c>
      <c r="J16" s="23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" hidden="false" customHeight="true" outlineLevel="0" collapsed="false">
      <c r="A17" s="21" t="s">
        <v>74</v>
      </c>
      <c r="B17" s="21"/>
      <c r="C17" s="24" t="s">
        <v>77</v>
      </c>
      <c r="D17" s="24"/>
      <c r="E17" s="24" t="s">
        <v>76</v>
      </c>
      <c r="F17" s="24"/>
      <c r="G17" s="24" t="s">
        <v>75</v>
      </c>
      <c r="H17" s="24"/>
      <c r="I17" s="24" t="s">
        <v>76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</sheetData>
  <mergeCells count="70">
    <mergeCell ref="B2:F2"/>
    <mergeCell ref="B8:Z8"/>
    <mergeCell ref="B9:Z9"/>
    <mergeCell ref="B10:Z10"/>
    <mergeCell ref="A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count="2">
    <dataValidation allowBlank="true" errorStyle="stop" operator="between" showDropDown="false" showErrorMessage="false" showInputMessage="false" sqref="B3" type="list">
      <formula1>"作成中,最終確定"</formula1>
      <formula2>0</formula2>
    </dataValidation>
    <dataValidation allowBlank="true" errorStyle="stop" operator="between" showDropDown="false" showErrorMessage="false" showInputMessage="false" sqref="D4" type="list">
      <formula1>作成者コード一覧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34"/>
  </cols>
  <sheetData>
    <row r="1" customFormat="false" ht="19.5" hidden="false" customHeight="true" outlineLevel="0" collapsed="false">
      <c r="A1" s="25" t="s">
        <v>128</v>
      </c>
      <c r="B1" s="25" t="s">
        <v>129</v>
      </c>
      <c r="C1" s="25" t="s">
        <v>31</v>
      </c>
      <c r="D1" s="25" t="s">
        <v>32</v>
      </c>
      <c r="E1" s="25" t="s">
        <v>34</v>
      </c>
      <c r="F1" s="25" t="s">
        <v>24</v>
      </c>
      <c r="G1" s="25" t="s">
        <v>26</v>
      </c>
      <c r="H1" s="25" t="s">
        <v>27</v>
      </c>
      <c r="I1" s="25" t="s">
        <v>29</v>
      </c>
      <c r="J1" s="25" t="s">
        <v>38</v>
      </c>
      <c r="K1" s="25" t="s">
        <v>40</v>
      </c>
      <c r="L1" s="25" t="s">
        <v>42</v>
      </c>
      <c r="M1" s="25" t="s">
        <v>43</v>
      </c>
      <c r="N1" s="25" t="s">
        <v>45</v>
      </c>
    </row>
    <row r="2" customFormat="false" ht="29.85" hidden="false" customHeight="false" outlineLevel="0" collapsed="false">
      <c r="A2" s="26" t="n">
        <f aca="false">ROW()-1</f>
        <v>1</v>
      </c>
      <c r="B2" s="27" t="str">
        <f aca="false">IF(ISERROR(試作シート1!$A$1),"",HYPERLINK("#'試作シート1'!A1","試作シート1"))</f>
        <v>試作シート1</v>
      </c>
      <c r="C2" s="28" t="str">
        <f aca="false">IF(ISERROR(試作シート1!$A$1),"",IF(OR(表紙!$D$4="",試作シート1!$D$4="",試作シート1!$B$5="",試作シート1!$D$5=""),"(入力待ち)",表紙!$D$4&amp;"_"&amp;試作シート1!$D$4&amp;"_"&amp;TEXT(試作シート1!$B$5,"yyyymmdd")&amp;TEXT(試作シート1!$D$5,"hhmm")&amp;"_"&amp;A2))</f>
        <v>RK_tnk_202607021000_1</v>
      </c>
      <c r="D2" s="29" t="str">
        <f aca="false">IFERROR(IF(試作シート1!B2="","",試作シート1!B2),"")</f>
        <v>バニラベース 甘味料検討</v>
      </c>
      <c r="E2" s="29" t="str">
        <f aca="false">IFERROR(IF(試作シート1!B3="","",試作シート1!B3),"")</f>
        <v>最終確定</v>
      </c>
      <c r="F2" s="29" t="str">
        <f aca="false">IFERROR(IF(試作シート1!B4="","",試作シート1!B4),"")</f>
        <v>山田 太郎</v>
      </c>
      <c r="G2" s="29" t="str">
        <f aca="false">IFERROR(IF(試作シート1!D4="","",試作シート1!D4),"")</f>
        <v>tnk</v>
      </c>
      <c r="H2" s="30" t="str">
        <f aca="false">IFERROR(IF(試作シート1!B5="","",試作シート1!B5),"")</f>
        <v>2026-07-02</v>
      </c>
      <c r="I2" s="31" t="str">
        <f aca="false">IFERROR(IF(試作シート1!D5="","",試作シート1!D5),"")</f>
        <v>10:00</v>
      </c>
      <c r="J2" s="30" t="str">
        <f aca="false">IFERROR(IF(試作シート1!B6="","",試作シート1!B6),"")</f>
        <v>2026-07-05</v>
      </c>
      <c r="K2" s="31" t="str">
        <f aca="false">IFERROR(IF(試作シート1!D6="","",試作シート1!D6),"")</f>
        <v>14:00</v>
      </c>
      <c r="L2" s="30" t="str">
        <f aca="false">IFERROR(IF(試作シート1!B7="","",試作シート1!B7),"")</f>
        <v>2026-07-05</v>
      </c>
      <c r="M2" s="32" t="str">
        <f aca="false">IFERROR(IF(試作シート1!B8="","",試作シート1!B8),"")</f>
        <v>コストダウンのため砂糖の一部を代替甘味料に置き換えたい。</v>
      </c>
      <c r="N2" s="32" t="str">
        <f aca="false">IFERROR(IF(試作シート1!B9="","",試作シート1!B9),"")</f>
        <v>羅漢果エキス20%置換で官能評価に有意差なし。採用候補。</v>
      </c>
    </row>
    <row r="3" customFormat="false" ht="29.85" hidden="false" customHeight="false" outlineLevel="0" collapsed="false">
      <c r="A3" s="26" t="n">
        <f aca="false">ROW()-1</f>
        <v>2</v>
      </c>
      <c r="B3" s="27" t="str">
        <f aca="false">IF(ISERROR(試作シート2!$A$1),"",HYPERLINK("#'試作シート2'!A1","試作シート2"))</f>
        <v>試作シート2</v>
      </c>
      <c r="C3" s="28" t="str">
        <f aca="false">IF(ISERROR(試作シート2!$A$1),"",IF(OR(表紙!$D$4="",試作シート2!$D$4="",試作シート2!$B$5="",試作シート2!$D$5=""),"(入力待ち)",表紙!$D$4&amp;"_"&amp;試作シート2!$D$4&amp;"_"&amp;TEXT(試作シート2!$B$5,"yyyymmdd")&amp;TEXT(試作シート2!$D$5,"hhmm")&amp;"_"&amp;A3))</f>
        <v>RK_tnk_202607180915_2</v>
      </c>
      <c r="D3" s="29" t="str">
        <f aca="false">IFERROR(IF(試作シート2!B2="","",試作シート2!B2),"")</f>
        <v>コーティングチョコ 口どけ改善</v>
      </c>
      <c r="E3" s="29" t="str">
        <f aca="false">IFERROR(IF(試作シート2!B3="","",試作シート2!B3),"")</f>
        <v>作成中</v>
      </c>
      <c r="F3" s="29" t="str">
        <f aca="false">IFERROR(IF(試作シート2!B4="","",試作シート2!B4),"")</f>
        <v>山田 太郎</v>
      </c>
      <c r="G3" s="29" t="str">
        <f aca="false">IFERROR(IF(試作シート2!D4="","",試作シート2!D4),"")</f>
        <v>tnk</v>
      </c>
      <c r="H3" s="30" t="str">
        <f aca="false">IFERROR(IF(試作シート2!B5="","",試作シート2!B5),"")</f>
        <v>2026-07-18</v>
      </c>
      <c r="I3" s="31" t="str">
        <f aca="false">IFERROR(IF(試作シート2!D5="","",試作シート2!D5),"")</f>
        <v>09:15</v>
      </c>
      <c r="J3" s="30" t="str">
        <f aca="false">IFERROR(IF(試作シート2!B6="","",試作シート2!B6),"")</f>
        <v>2026-07-20</v>
      </c>
      <c r="K3" s="31" t="str">
        <f aca="false">IFERROR(IF(試作シート2!D6="","",試作シート2!D6),"")</f>
        <v>10:00</v>
      </c>
      <c r="L3" s="30" t="str">
        <f aca="false">IFERROR(IF(試作シート2!B7="","",試作シート2!B7),"")</f>
        <v/>
      </c>
      <c r="M3" s="32" t="str">
        <f aca="false">IFERROR(IF(試作シート2!B8="","",試作シート2!B8),"")</f>
        <v>夏季における口どけの重さを改善したい。</v>
      </c>
      <c r="N3" s="32" t="str">
        <f aca="false">IFERROR(IF(試作シート2!B9="","",試作シート2!B9),"")</f>
        <v/>
      </c>
    </row>
    <row r="4" customFormat="false" ht="29.85" hidden="false" customHeight="false" outlineLevel="0" collapsed="false">
      <c r="A4" s="26" t="n">
        <f aca="false">ROW()-1</f>
        <v>3</v>
      </c>
      <c r="B4" s="27" t="str">
        <f aca="false">IF(ISERROR(試作シート3!$A$1),"",HYPERLINK("#'試作シート3'!A1","試作シート3"))</f>
        <v>試作シート3</v>
      </c>
      <c r="C4" s="28" t="str">
        <f aca="false">IF(ISERROR(試作シート3!$A$1),"",IF(OR(表紙!$D$4="",試作シート3!$D$4="",試作シート3!$B$5="",試作シート3!$D$5=""),"(入力待ち)",表紙!$D$4&amp;"_"&amp;試作シート3!$D$4&amp;"_"&amp;TEXT(試作シート3!$B$5,"yyyymmdd")&amp;TEXT(試作シート3!$D$5,"hhmm")&amp;"_"&amp;A4))</f>
        <v>RK_tnk_202608101000_3</v>
      </c>
      <c r="D4" s="29" t="str">
        <f aca="false">IFERROR(IF(試作シート3!B2="","",試作シート3!B2),"")</f>
        <v>オーバーラン（空気含有率）検討</v>
      </c>
      <c r="E4" s="29" t="str">
        <f aca="false">IFERROR(IF(試作シート3!B3="","",試作シート3!B3),"")</f>
        <v>作成中</v>
      </c>
      <c r="F4" s="29" t="str">
        <f aca="false">IFERROR(IF(試作シート3!B4="","",試作シート3!B4),"")</f>
        <v>山田 太郎</v>
      </c>
      <c r="G4" s="29" t="str">
        <f aca="false">IFERROR(IF(試作シート3!D4="","",試作シート3!D4),"")</f>
        <v>tnk</v>
      </c>
      <c r="H4" s="30" t="str">
        <f aca="false">IFERROR(IF(試作シート3!B5="","",試作シート3!B5),"")</f>
        <v>2026-08-10</v>
      </c>
      <c r="I4" s="31" t="str">
        <f aca="false">IFERROR(IF(試作シート3!D5="","",試作シート3!D5),"")</f>
        <v>10:00</v>
      </c>
      <c r="J4" s="30" t="str">
        <f aca="false">IFERROR(IF(試作シート3!B6="","",試作シート3!B6),"")</f>
        <v>2026-08-14</v>
      </c>
      <c r="K4" s="31" t="str">
        <f aca="false">IFERROR(IF(試作シート3!D6="","",試作シート3!D6),"")</f>
        <v>11:00</v>
      </c>
      <c r="L4" s="30" t="str">
        <f aca="false">IFERROR(IF(試作シート3!B7="","",試作シート3!B7),"")</f>
        <v/>
      </c>
      <c r="M4" s="32" t="str">
        <f aca="false">IFERROR(IF(試作シート3!B8="","",試作シート3!B8),"")</f>
        <v>口当たりの軽さと形状保持のバランスを検証したい。</v>
      </c>
      <c r="N4" s="32" t="str">
        <f aca="false">IFERROR(IF(試作シート3!B9="","",試作シート3!B9),"")</f>
        <v/>
      </c>
    </row>
    <row r="5" customFormat="false" ht="29.85" hidden="false" customHeight="false" outlineLevel="0" collapsed="false">
      <c r="A5" s="26" t="n">
        <f aca="false">ROW()-1</f>
        <v>4</v>
      </c>
      <c r="B5" s="27" t="str">
        <f aca="false">IF(ISERROR(試作シート4!$A$1),"",HYPERLINK("#'試作シート4'!A1","試作シート4"))</f>
        <v>試作シート4</v>
      </c>
      <c r="C5" s="28" t="str">
        <f aca="false">IF(ISERROR(試作シート4!$A$1),"",IF(OR(表紙!$D$4="",試作シート4!$D$4="",試作シート4!$B$5="",試作シート4!$D$5=""),"(入力待ち)",表紙!$D$4&amp;"_"&amp;試作シート4!$D$4&amp;"_"&amp;TEXT(試作シート4!$B$5,"yyyymmdd")&amp;TEXT(試作シート4!$D$5,"hhmm")&amp;"_"&amp;A5))</f>
        <v>RK_tnk_202608251400_4</v>
      </c>
      <c r="D5" s="29" t="str">
        <f aca="false">IFERROR(IF(試作シート4!B2="","",試作シート4!B2),"")</f>
        <v>保存性向上（安定剤比較）</v>
      </c>
      <c r="E5" s="29" t="str">
        <f aca="false">IFERROR(IF(試作シート4!B3="","",試作シート4!B3),"")</f>
        <v>最終確定</v>
      </c>
      <c r="F5" s="29" t="str">
        <f aca="false">IFERROR(IF(試作シート4!B4="","",試作シート4!B4),"")</f>
        <v>山田 太郎</v>
      </c>
      <c r="G5" s="29" t="str">
        <f aca="false">IFERROR(IF(試作シート4!D4="","",試作シート4!D4),"")</f>
        <v>tnk</v>
      </c>
      <c r="H5" s="30" t="str">
        <f aca="false">IFERROR(IF(試作シート4!B5="","",試作シート4!B5),"")</f>
        <v>2026-08-25</v>
      </c>
      <c r="I5" s="31" t="str">
        <f aca="false">IFERROR(IF(試作シート4!D5="","",試作シート4!D5),"")</f>
        <v>14:00</v>
      </c>
      <c r="J5" s="30" t="str">
        <f aca="false">IFERROR(IF(試作シート4!B6="","",試作シート4!B6),"")</f>
        <v>2026-09-01</v>
      </c>
      <c r="K5" s="31" t="str">
        <f aca="false">IFERROR(IF(試作シート4!D6="","",試作シート4!D6),"")</f>
        <v>15:00</v>
      </c>
      <c r="L5" s="30" t="str">
        <f aca="false">IFERROR(IF(試作シート4!B7="","",試作シート4!B7),"")</f>
        <v>2026-09-01</v>
      </c>
      <c r="M5" s="32" t="str">
        <f aca="false">IFERROR(IF(試作シート4!B8="","",試作シート4!B8),"")</f>
        <v>流通期間延長のため氷結晶成長の抑制を狙う。</v>
      </c>
      <c r="N5" s="32" t="str">
        <f aca="false">IFERROR(IF(試作シート4!B9="","",試作シート4!B9),"")</f>
        <v>安定剤B 0.2%配合で氷結晶の粗大化を抑制、採用決定。</v>
      </c>
    </row>
    <row r="6" customFormat="false" ht="15" hidden="false" customHeight="false" outlineLevel="0" collapsed="false">
      <c r="A6" s="26" t="n">
        <f aca="false">ROW()-1</f>
        <v>5</v>
      </c>
      <c r="B6" s="27" t="str">
        <f aca="false">IF(ISERROR('試作シート5'!$a$1),"",HYPERLINK("#'試作シート5'!A1","試作シート5"))</f>
        <v/>
      </c>
      <c r="C6" s="28" t="str">
        <f aca="false">IF(ISERROR('試作シート5'!$a$1),"",IF(OR(表紙!$D$4="",'試作シート5'!$d$4="",'試作シート5'!$b$5="",'試作シート5'!$d$5=""),"(入力待ち)",表紙!$D$4&amp;"_"&amp;'試作シート5'!$d$4&amp;"_"&amp;TEXT('試作シート5'!$b$5,"yyyymmdd")&amp;TEXT('試作シート5'!$d$5,"hhmm")&amp;"_"&amp;A6))</f>
        <v/>
      </c>
      <c r="D6" s="29" t="str">
        <f aca="false">IFERROR(IF('試作シート5'!b2="","",'試作シート5'!b2),"")</f>
        <v/>
      </c>
      <c r="E6" s="29" t="str">
        <f aca="false">IFERROR(IF('試作シート5'!b3="","",'試作シート5'!b3),"")</f>
        <v/>
      </c>
      <c r="F6" s="29" t="str">
        <f aca="false">IFERROR(IF('試作シート5'!b4="","",'試作シート5'!b4),"")</f>
        <v/>
      </c>
      <c r="G6" s="29" t="str">
        <f aca="false">IFERROR(IF('試作シート5'!d4="","",'試作シート5'!d4),"")</f>
        <v/>
      </c>
      <c r="H6" s="30" t="str">
        <f aca="false">IFERROR(IF('試作シート5'!b5="","",'試作シート5'!b5),"")</f>
        <v/>
      </c>
      <c r="I6" s="31" t="str">
        <f aca="false">IFERROR(IF('試作シート5'!d5="","",'試作シート5'!d5),"")</f>
        <v/>
      </c>
      <c r="J6" s="30" t="str">
        <f aca="false">IFERROR(IF('試作シート5'!b6="","",'試作シート5'!b6),"")</f>
        <v/>
      </c>
      <c r="K6" s="31" t="str">
        <f aca="false">IFERROR(IF('試作シート5'!d6="","",'試作シート5'!d6),"")</f>
        <v/>
      </c>
      <c r="L6" s="30" t="str">
        <f aca="false">IFERROR(IF('試作シート5'!b7="","",'試作シート5'!b7),"")</f>
        <v/>
      </c>
      <c r="M6" s="32" t="str">
        <f aca="false">IFERROR(IF('試作シート5'!b8="","",'試作シート5'!b8),"")</f>
        <v/>
      </c>
      <c r="N6" s="32" t="str">
        <f aca="false">IFERROR(IF('試作シート5'!b9="","",'試作シート5'!b9),"")</f>
        <v/>
      </c>
    </row>
    <row r="7" customFormat="false" ht="15" hidden="false" customHeight="false" outlineLevel="0" collapsed="false">
      <c r="A7" s="26" t="n">
        <f aca="false">ROW()-1</f>
        <v>6</v>
      </c>
      <c r="B7" s="27" t="str">
        <f aca="false">IF(ISERROR('試作シート6'!$a$1),"",HYPERLINK("#'試作シート6'!A1","試作シート6"))</f>
        <v/>
      </c>
      <c r="C7" s="28" t="str">
        <f aca="false">IF(ISERROR('試作シート6'!$a$1),"",IF(OR(表紙!$D$4="",'試作シート6'!$d$4="",'試作シート6'!$b$5="",'試作シート6'!$d$5=""),"(入力待ち)",表紙!$D$4&amp;"_"&amp;'試作シート6'!$d$4&amp;"_"&amp;TEXT('試作シート6'!$b$5,"yyyymmdd")&amp;TEXT('試作シート6'!$d$5,"hhmm")&amp;"_"&amp;A7))</f>
        <v/>
      </c>
      <c r="D7" s="29" t="str">
        <f aca="false">IFERROR(IF('試作シート6'!b2="","",'試作シート6'!b2),"")</f>
        <v/>
      </c>
      <c r="E7" s="29" t="str">
        <f aca="false">IFERROR(IF('試作シート6'!b3="","",'試作シート6'!b3),"")</f>
        <v/>
      </c>
      <c r="F7" s="29" t="str">
        <f aca="false">IFERROR(IF('試作シート6'!b4="","",'試作シート6'!b4),"")</f>
        <v/>
      </c>
      <c r="G7" s="29" t="str">
        <f aca="false">IFERROR(IF('試作シート6'!d4="","",'試作シート6'!d4),"")</f>
        <v/>
      </c>
      <c r="H7" s="30" t="str">
        <f aca="false">IFERROR(IF('試作シート6'!b5="","",'試作シート6'!b5),"")</f>
        <v/>
      </c>
      <c r="I7" s="31" t="str">
        <f aca="false">IFERROR(IF('試作シート6'!d5="","",'試作シート6'!d5),"")</f>
        <v/>
      </c>
      <c r="J7" s="30" t="str">
        <f aca="false">IFERROR(IF('試作シート6'!b6="","",'試作シート6'!b6),"")</f>
        <v/>
      </c>
      <c r="K7" s="31" t="str">
        <f aca="false">IFERROR(IF('試作シート6'!d6="","",'試作シート6'!d6),"")</f>
        <v/>
      </c>
      <c r="L7" s="30" t="str">
        <f aca="false">IFERROR(IF('試作シート6'!b7="","",'試作シート6'!b7),"")</f>
        <v/>
      </c>
      <c r="M7" s="32" t="str">
        <f aca="false">IFERROR(IF('試作シート6'!b8="","",'試作シート6'!b8),"")</f>
        <v/>
      </c>
      <c r="N7" s="32" t="str">
        <f aca="false">IFERROR(IF('試作シート6'!b9="","",'試作シート6'!b9),"")</f>
        <v/>
      </c>
    </row>
    <row r="8" customFormat="false" ht="15" hidden="false" customHeight="false" outlineLevel="0" collapsed="false">
      <c r="A8" s="26" t="n">
        <f aca="false">ROW()-1</f>
        <v>7</v>
      </c>
      <c r="B8" s="27" t="str">
        <f aca="false">IF(ISERROR('試作シート7'!$a$1),"",HYPERLINK("#'試作シート7'!A1","試作シート7"))</f>
        <v/>
      </c>
      <c r="C8" s="28" t="str">
        <f aca="false">IF(ISERROR('試作シート7'!$a$1),"",IF(OR(表紙!$D$4="",'試作シート7'!$d$4="",'試作シート7'!$b$5="",'試作シート7'!$d$5=""),"(入力待ち)",表紙!$D$4&amp;"_"&amp;'試作シート7'!$d$4&amp;"_"&amp;TEXT('試作シート7'!$b$5,"yyyymmdd")&amp;TEXT('試作シート7'!$d$5,"hhmm")&amp;"_"&amp;A8))</f>
        <v/>
      </c>
      <c r="D8" s="29" t="str">
        <f aca="false">IFERROR(IF('試作シート7'!b2="","",'試作シート7'!b2),"")</f>
        <v/>
      </c>
      <c r="E8" s="29" t="str">
        <f aca="false">IFERROR(IF('試作シート7'!b3="","",'試作シート7'!b3),"")</f>
        <v/>
      </c>
      <c r="F8" s="29" t="str">
        <f aca="false">IFERROR(IF('試作シート7'!b4="","",'試作シート7'!b4),"")</f>
        <v/>
      </c>
      <c r="G8" s="29" t="str">
        <f aca="false">IFERROR(IF('試作シート7'!d4="","",'試作シート7'!d4),"")</f>
        <v/>
      </c>
      <c r="H8" s="30" t="str">
        <f aca="false">IFERROR(IF('試作シート7'!b5="","",'試作シート7'!b5),"")</f>
        <v/>
      </c>
      <c r="I8" s="31" t="str">
        <f aca="false">IFERROR(IF('試作シート7'!d5="","",'試作シート7'!d5),"")</f>
        <v/>
      </c>
      <c r="J8" s="30" t="str">
        <f aca="false">IFERROR(IF('試作シート7'!b6="","",'試作シート7'!b6),"")</f>
        <v/>
      </c>
      <c r="K8" s="31" t="str">
        <f aca="false">IFERROR(IF('試作シート7'!d6="","",'試作シート7'!d6),"")</f>
        <v/>
      </c>
      <c r="L8" s="30" t="str">
        <f aca="false">IFERROR(IF('試作シート7'!b7="","",'試作シート7'!b7),"")</f>
        <v/>
      </c>
      <c r="M8" s="32" t="str">
        <f aca="false">IFERROR(IF('試作シート7'!b8="","",'試作シート7'!b8),"")</f>
        <v/>
      </c>
      <c r="N8" s="32" t="str">
        <f aca="false">IFERROR(IF('試作シート7'!b9="","",'試作シート7'!b9),"")</f>
        <v/>
      </c>
    </row>
    <row r="9" customFormat="false" ht="15" hidden="false" customHeight="false" outlineLevel="0" collapsed="false">
      <c r="A9" s="26" t="n">
        <f aca="false">ROW()-1</f>
        <v>8</v>
      </c>
      <c r="B9" s="27" t="str">
        <f aca="false">IF(ISERROR('試作シート8'!$a$1),"",HYPERLINK("#'試作シート8'!A1","試作シート8"))</f>
        <v/>
      </c>
      <c r="C9" s="28" t="str">
        <f aca="false">IF(ISERROR('試作シート8'!$a$1),"",IF(OR(表紙!$D$4="",'試作シート8'!$d$4="",'試作シート8'!$b$5="",'試作シート8'!$d$5=""),"(入力待ち)",表紙!$D$4&amp;"_"&amp;'試作シート8'!$d$4&amp;"_"&amp;TEXT('試作シート8'!$b$5,"yyyymmdd")&amp;TEXT('試作シート8'!$d$5,"hhmm")&amp;"_"&amp;A9))</f>
        <v/>
      </c>
      <c r="D9" s="29" t="str">
        <f aca="false">IFERROR(IF('試作シート8'!b2="","",'試作シート8'!b2),"")</f>
        <v/>
      </c>
      <c r="E9" s="29" t="str">
        <f aca="false">IFERROR(IF('試作シート8'!b3="","",'試作シート8'!b3),"")</f>
        <v/>
      </c>
      <c r="F9" s="29" t="str">
        <f aca="false">IFERROR(IF('試作シート8'!b4="","",'試作シート8'!b4),"")</f>
        <v/>
      </c>
      <c r="G9" s="29" t="str">
        <f aca="false">IFERROR(IF('試作シート8'!d4="","",'試作シート8'!d4),"")</f>
        <v/>
      </c>
      <c r="H9" s="30" t="str">
        <f aca="false">IFERROR(IF('試作シート8'!b5="","",'試作シート8'!b5),"")</f>
        <v/>
      </c>
      <c r="I9" s="31" t="str">
        <f aca="false">IFERROR(IF('試作シート8'!d5="","",'試作シート8'!d5),"")</f>
        <v/>
      </c>
      <c r="J9" s="30" t="str">
        <f aca="false">IFERROR(IF('試作シート8'!b6="","",'試作シート8'!b6),"")</f>
        <v/>
      </c>
      <c r="K9" s="31" t="str">
        <f aca="false">IFERROR(IF('試作シート8'!d6="","",'試作シート8'!d6),"")</f>
        <v/>
      </c>
      <c r="L9" s="30" t="str">
        <f aca="false">IFERROR(IF('試作シート8'!b7="","",'試作シート8'!b7),"")</f>
        <v/>
      </c>
      <c r="M9" s="32" t="str">
        <f aca="false">IFERROR(IF('試作シート8'!b8="","",'試作シート8'!b8),"")</f>
        <v/>
      </c>
      <c r="N9" s="32" t="str">
        <f aca="false">IFERROR(IF('試作シート8'!b9="","",'試作シート8'!b9),"")</f>
        <v/>
      </c>
    </row>
    <row r="10" customFormat="false" ht="15" hidden="false" customHeight="false" outlineLevel="0" collapsed="false">
      <c r="A10" s="26" t="n">
        <f aca="false">ROW()-1</f>
        <v>9</v>
      </c>
      <c r="B10" s="27" t="str">
        <f aca="false">IF(ISERROR('試作シート9'!$a$1),"",HYPERLINK("#'試作シート9'!A1","試作シート9"))</f>
        <v/>
      </c>
      <c r="C10" s="28" t="str">
        <f aca="false">IF(ISERROR('試作シート9'!$a$1),"",IF(OR(表紙!$D$4="",'試作シート9'!$d$4="",'試作シート9'!$b$5="",'試作シート9'!$d$5=""),"(入力待ち)",表紙!$D$4&amp;"_"&amp;'試作シート9'!$d$4&amp;"_"&amp;TEXT('試作シート9'!$b$5,"yyyymmdd")&amp;TEXT('試作シート9'!$d$5,"hhmm")&amp;"_"&amp;A10))</f>
        <v/>
      </c>
      <c r="D10" s="29" t="str">
        <f aca="false">IFERROR(IF('試作シート9'!b2="","",'試作シート9'!b2),"")</f>
        <v/>
      </c>
      <c r="E10" s="29" t="str">
        <f aca="false">IFERROR(IF('試作シート9'!b3="","",'試作シート9'!b3),"")</f>
        <v/>
      </c>
      <c r="F10" s="29" t="str">
        <f aca="false">IFERROR(IF('試作シート9'!b4="","",'試作シート9'!b4),"")</f>
        <v/>
      </c>
      <c r="G10" s="29" t="str">
        <f aca="false">IFERROR(IF('試作シート9'!d4="","",'試作シート9'!d4),"")</f>
        <v/>
      </c>
      <c r="H10" s="30" t="str">
        <f aca="false">IFERROR(IF('試作シート9'!b5="","",'試作シート9'!b5),"")</f>
        <v/>
      </c>
      <c r="I10" s="31" t="str">
        <f aca="false">IFERROR(IF('試作シート9'!d5="","",'試作シート9'!d5),"")</f>
        <v/>
      </c>
      <c r="J10" s="30" t="str">
        <f aca="false">IFERROR(IF('試作シート9'!b6="","",'試作シート9'!b6),"")</f>
        <v/>
      </c>
      <c r="K10" s="31" t="str">
        <f aca="false">IFERROR(IF('試作シート9'!d6="","",'試作シート9'!d6),"")</f>
        <v/>
      </c>
      <c r="L10" s="30" t="str">
        <f aca="false">IFERROR(IF('試作シート9'!b7="","",'試作シート9'!b7),"")</f>
        <v/>
      </c>
      <c r="M10" s="32" t="str">
        <f aca="false">IFERROR(IF('試作シート9'!b8="","",'試作シート9'!b8),"")</f>
        <v/>
      </c>
      <c r="N10" s="32" t="str">
        <f aca="false">IFERROR(IF('試作シート9'!b9="","",'試作シート9'!b9),"")</f>
        <v/>
      </c>
    </row>
    <row r="11" customFormat="false" ht="15" hidden="false" customHeight="false" outlineLevel="0" collapsed="false">
      <c r="A11" s="26" t="n">
        <f aca="false">ROW()-1</f>
        <v>10</v>
      </c>
      <c r="B11" s="27" t="str">
        <f aca="false">IF(ISERROR('試作シート10'!$a$1),"",HYPERLINK("#'試作シート10'!A1","試作シート10"))</f>
        <v/>
      </c>
      <c r="C11" s="28" t="str">
        <f aca="false">IF(ISERROR('試作シート10'!$a$1),"",IF(OR(表紙!$D$4="",'試作シート10'!$d$4="",'試作シート10'!$b$5="",'試作シート10'!$d$5=""),"(入力待ち)",表紙!$D$4&amp;"_"&amp;'試作シート10'!$d$4&amp;"_"&amp;TEXT('試作シート10'!$b$5,"yyyymmdd")&amp;TEXT('試作シート10'!$d$5,"hhmm")&amp;"_"&amp;A11))</f>
        <v/>
      </c>
      <c r="D11" s="29" t="str">
        <f aca="false">IFERROR(IF('試作シート10'!b2="","",'試作シート10'!b2),"")</f>
        <v/>
      </c>
      <c r="E11" s="29" t="str">
        <f aca="false">IFERROR(IF('試作シート10'!b3="","",'試作シート10'!b3),"")</f>
        <v/>
      </c>
      <c r="F11" s="29" t="str">
        <f aca="false">IFERROR(IF('試作シート10'!b4="","",'試作シート10'!b4),"")</f>
        <v/>
      </c>
      <c r="G11" s="29" t="str">
        <f aca="false">IFERROR(IF('試作シート10'!d4="","",'試作シート10'!d4),"")</f>
        <v/>
      </c>
      <c r="H11" s="30" t="str">
        <f aca="false">IFERROR(IF('試作シート10'!b5="","",'試作シート10'!b5),"")</f>
        <v/>
      </c>
      <c r="I11" s="31" t="str">
        <f aca="false">IFERROR(IF('試作シート10'!d5="","",'試作シート10'!d5),"")</f>
        <v/>
      </c>
      <c r="J11" s="30" t="str">
        <f aca="false">IFERROR(IF('試作シート10'!b6="","",'試作シート10'!b6),"")</f>
        <v/>
      </c>
      <c r="K11" s="31" t="str">
        <f aca="false">IFERROR(IF('試作シート10'!d6="","",'試作シート10'!d6),"")</f>
        <v/>
      </c>
      <c r="L11" s="30" t="str">
        <f aca="false">IFERROR(IF('試作シート10'!b7="","",'試作シート10'!b7),"")</f>
        <v/>
      </c>
      <c r="M11" s="32" t="str">
        <f aca="false">IFERROR(IF('試作シート10'!b8="","",'試作シート10'!b8),"")</f>
        <v/>
      </c>
      <c r="N11" s="32" t="str">
        <f aca="false">IFERROR(IF('試作シート10'!b9="","",'試作シート10'!b9),"")</f>
        <v/>
      </c>
    </row>
    <row r="12" customFormat="false" ht="15" hidden="false" customHeight="false" outlineLevel="0" collapsed="false">
      <c r="A12" s="26" t="n">
        <f aca="false">ROW()-1</f>
        <v>11</v>
      </c>
      <c r="B12" s="27" t="str">
        <f aca="false">IF(ISERROR('試作シート11'!$a$1),"",HYPERLINK("#'試作シート11'!A1","試作シート11"))</f>
        <v/>
      </c>
      <c r="C12" s="28" t="str">
        <f aca="false">IF(ISERROR('試作シート11'!$a$1),"",IF(OR(表紙!$D$4="",'試作シート11'!$d$4="",'試作シート11'!$b$5="",'試作シート11'!$d$5=""),"(入力待ち)",表紙!$D$4&amp;"_"&amp;'試作シート11'!$d$4&amp;"_"&amp;TEXT('試作シート11'!$b$5,"yyyymmdd")&amp;TEXT('試作シート11'!$d$5,"hhmm")&amp;"_"&amp;A12))</f>
        <v/>
      </c>
      <c r="D12" s="29" t="str">
        <f aca="false">IFERROR(IF('試作シート11'!b2="","",'試作シート11'!b2),"")</f>
        <v/>
      </c>
      <c r="E12" s="29" t="str">
        <f aca="false">IFERROR(IF('試作シート11'!b3="","",'試作シート11'!b3),"")</f>
        <v/>
      </c>
      <c r="F12" s="29" t="str">
        <f aca="false">IFERROR(IF('試作シート11'!b4="","",'試作シート11'!b4),"")</f>
        <v/>
      </c>
      <c r="G12" s="29" t="str">
        <f aca="false">IFERROR(IF('試作シート11'!d4="","",'試作シート11'!d4),"")</f>
        <v/>
      </c>
      <c r="H12" s="30" t="str">
        <f aca="false">IFERROR(IF('試作シート11'!b5="","",'試作シート11'!b5),"")</f>
        <v/>
      </c>
      <c r="I12" s="31" t="str">
        <f aca="false">IFERROR(IF('試作シート11'!d5="","",'試作シート11'!d5),"")</f>
        <v/>
      </c>
      <c r="J12" s="30" t="str">
        <f aca="false">IFERROR(IF('試作シート11'!b6="","",'試作シート11'!b6),"")</f>
        <v/>
      </c>
      <c r="K12" s="31" t="str">
        <f aca="false">IFERROR(IF('試作シート11'!d6="","",'試作シート11'!d6),"")</f>
        <v/>
      </c>
      <c r="L12" s="30" t="str">
        <f aca="false">IFERROR(IF('試作シート11'!b7="","",'試作シート11'!b7),"")</f>
        <v/>
      </c>
      <c r="M12" s="32" t="str">
        <f aca="false">IFERROR(IF('試作シート11'!b8="","",'試作シート11'!b8),"")</f>
        <v/>
      </c>
      <c r="N12" s="32" t="str">
        <f aca="false">IFERROR(IF('試作シート11'!b9="","",'試作シート11'!b9),"")</f>
        <v/>
      </c>
    </row>
    <row r="13" customFormat="false" ht="15" hidden="false" customHeight="false" outlineLevel="0" collapsed="false">
      <c r="A13" s="26" t="n">
        <f aca="false">ROW()-1</f>
        <v>12</v>
      </c>
      <c r="B13" s="27" t="str">
        <f aca="false">IF(ISERROR('試作シート12'!$a$1),"",HYPERLINK("#'試作シート12'!A1","試作シート12"))</f>
        <v/>
      </c>
      <c r="C13" s="28" t="str">
        <f aca="false">IF(ISERROR('試作シート12'!$a$1),"",IF(OR(表紙!$D$4="",'試作シート12'!$d$4="",'試作シート12'!$b$5="",'試作シート12'!$d$5=""),"(入力待ち)",表紙!$D$4&amp;"_"&amp;'試作シート12'!$d$4&amp;"_"&amp;TEXT('試作シート12'!$b$5,"yyyymmdd")&amp;TEXT('試作シート12'!$d$5,"hhmm")&amp;"_"&amp;A13))</f>
        <v/>
      </c>
      <c r="D13" s="29" t="str">
        <f aca="false">IFERROR(IF('試作シート12'!b2="","",'試作シート12'!b2),"")</f>
        <v/>
      </c>
      <c r="E13" s="29" t="str">
        <f aca="false">IFERROR(IF('試作シート12'!b3="","",'試作シート12'!b3),"")</f>
        <v/>
      </c>
      <c r="F13" s="29" t="str">
        <f aca="false">IFERROR(IF('試作シート12'!b4="","",'試作シート12'!b4),"")</f>
        <v/>
      </c>
      <c r="G13" s="29" t="str">
        <f aca="false">IFERROR(IF('試作シート12'!d4="","",'試作シート12'!d4),"")</f>
        <v/>
      </c>
      <c r="H13" s="30" t="str">
        <f aca="false">IFERROR(IF('試作シート12'!b5="","",'試作シート12'!b5),"")</f>
        <v/>
      </c>
      <c r="I13" s="31" t="str">
        <f aca="false">IFERROR(IF('試作シート12'!d5="","",'試作シート12'!d5),"")</f>
        <v/>
      </c>
      <c r="J13" s="30" t="str">
        <f aca="false">IFERROR(IF('試作シート12'!b6="","",'試作シート12'!b6),"")</f>
        <v/>
      </c>
      <c r="K13" s="31" t="str">
        <f aca="false">IFERROR(IF('試作シート12'!d6="","",'試作シート12'!d6),"")</f>
        <v/>
      </c>
      <c r="L13" s="30" t="str">
        <f aca="false">IFERROR(IF('試作シート12'!b7="","",'試作シート12'!b7),"")</f>
        <v/>
      </c>
      <c r="M13" s="32" t="str">
        <f aca="false">IFERROR(IF('試作シート12'!b8="","",'試作シート12'!b8),"")</f>
        <v/>
      </c>
      <c r="N13" s="32" t="str">
        <f aca="false">IFERROR(IF('試作シート12'!b9="","",'試作シート12'!b9),"")</f>
        <v/>
      </c>
    </row>
    <row r="14" customFormat="false" ht="15" hidden="false" customHeight="false" outlineLevel="0" collapsed="false">
      <c r="A14" s="26" t="n">
        <f aca="false">ROW()-1</f>
        <v>13</v>
      </c>
      <c r="B14" s="27" t="str">
        <f aca="false">IF(ISERROR('試作シート13'!$a$1),"",HYPERLINK("#'試作シート13'!A1","試作シート13"))</f>
        <v/>
      </c>
      <c r="C14" s="28" t="str">
        <f aca="false">IF(ISERROR('試作シート13'!$a$1),"",IF(OR(表紙!$D$4="",'試作シート13'!$d$4="",'試作シート13'!$b$5="",'試作シート13'!$d$5=""),"(入力待ち)",表紙!$D$4&amp;"_"&amp;'試作シート13'!$d$4&amp;"_"&amp;TEXT('試作シート13'!$b$5,"yyyymmdd")&amp;TEXT('試作シート13'!$d$5,"hhmm")&amp;"_"&amp;A14))</f>
        <v/>
      </c>
      <c r="D14" s="29" t="str">
        <f aca="false">IFERROR(IF('試作シート13'!b2="","",'試作シート13'!b2),"")</f>
        <v/>
      </c>
      <c r="E14" s="29" t="str">
        <f aca="false">IFERROR(IF('試作シート13'!b3="","",'試作シート13'!b3),"")</f>
        <v/>
      </c>
      <c r="F14" s="29" t="str">
        <f aca="false">IFERROR(IF('試作シート13'!b4="","",'試作シート13'!b4),"")</f>
        <v/>
      </c>
      <c r="G14" s="29" t="str">
        <f aca="false">IFERROR(IF('試作シート13'!d4="","",'試作シート13'!d4),"")</f>
        <v/>
      </c>
      <c r="H14" s="30" t="str">
        <f aca="false">IFERROR(IF('試作シート13'!b5="","",'試作シート13'!b5),"")</f>
        <v/>
      </c>
      <c r="I14" s="31" t="str">
        <f aca="false">IFERROR(IF('試作シート13'!d5="","",'試作シート13'!d5),"")</f>
        <v/>
      </c>
      <c r="J14" s="30" t="str">
        <f aca="false">IFERROR(IF('試作シート13'!b6="","",'試作シート13'!b6),"")</f>
        <v/>
      </c>
      <c r="K14" s="31" t="str">
        <f aca="false">IFERROR(IF('試作シート13'!d6="","",'試作シート13'!d6),"")</f>
        <v/>
      </c>
      <c r="L14" s="30" t="str">
        <f aca="false">IFERROR(IF('試作シート13'!b7="","",'試作シート13'!b7),"")</f>
        <v/>
      </c>
      <c r="M14" s="32" t="str">
        <f aca="false">IFERROR(IF('試作シート13'!b8="","",'試作シート13'!b8),"")</f>
        <v/>
      </c>
      <c r="N14" s="32" t="str">
        <f aca="false">IFERROR(IF('試作シート13'!b9="","",'試作シート13'!b9),"")</f>
        <v/>
      </c>
    </row>
    <row r="15" customFormat="false" ht="15" hidden="false" customHeight="false" outlineLevel="0" collapsed="false">
      <c r="A15" s="26" t="n">
        <f aca="false">ROW()-1</f>
        <v>14</v>
      </c>
      <c r="B15" s="27" t="str">
        <f aca="false">IF(ISERROR('試作シート14'!$a$1),"",HYPERLINK("#'試作シート14'!A1","試作シート14"))</f>
        <v/>
      </c>
      <c r="C15" s="28" t="str">
        <f aca="false">IF(ISERROR('試作シート14'!$a$1),"",IF(OR(表紙!$D$4="",'試作シート14'!$d$4="",'試作シート14'!$b$5="",'試作シート14'!$d$5=""),"(入力待ち)",表紙!$D$4&amp;"_"&amp;'試作シート14'!$d$4&amp;"_"&amp;TEXT('試作シート14'!$b$5,"yyyymmdd")&amp;TEXT('試作シート14'!$d$5,"hhmm")&amp;"_"&amp;A15))</f>
        <v/>
      </c>
      <c r="D15" s="29" t="str">
        <f aca="false">IFERROR(IF('試作シート14'!b2="","",'試作シート14'!b2),"")</f>
        <v/>
      </c>
      <c r="E15" s="29" t="str">
        <f aca="false">IFERROR(IF('試作シート14'!b3="","",'試作シート14'!b3),"")</f>
        <v/>
      </c>
      <c r="F15" s="29" t="str">
        <f aca="false">IFERROR(IF('試作シート14'!b4="","",'試作シート14'!b4),"")</f>
        <v/>
      </c>
      <c r="G15" s="29" t="str">
        <f aca="false">IFERROR(IF('試作シート14'!d4="","",'試作シート14'!d4),"")</f>
        <v/>
      </c>
      <c r="H15" s="30" t="str">
        <f aca="false">IFERROR(IF('試作シート14'!b5="","",'試作シート14'!b5),"")</f>
        <v/>
      </c>
      <c r="I15" s="31" t="str">
        <f aca="false">IFERROR(IF('試作シート14'!d5="","",'試作シート14'!d5),"")</f>
        <v/>
      </c>
      <c r="J15" s="30" t="str">
        <f aca="false">IFERROR(IF('試作シート14'!b6="","",'試作シート14'!b6),"")</f>
        <v/>
      </c>
      <c r="K15" s="31" t="str">
        <f aca="false">IFERROR(IF('試作シート14'!d6="","",'試作シート14'!d6),"")</f>
        <v/>
      </c>
      <c r="L15" s="30" t="str">
        <f aca="false">IFERROR(IF('試作シート14'!b7="","",'試作シート14'!b7),"")</f>
        <v/>
      </c>
      <c r="M15" s="32" t="str">
        <f aca="false">IFERROR(IF('試作シート14'!b8="","",'試作シート14'!b8),"")</f>
        <v/>
      </c>
      <c r="N15" s="32" t="str">
        <f aca="false">IFERROR(IF('試作シート14'!b9="","",'試作シート14'!b9),"")</f>
        <v/>
      </c>
    </row>
    <row r="16" customFormat="false" ht="15" hidden="false" customHeight="false" outlineLevel="0" collapsed="false">
      <c r="A16" s="26" t="n">
        <f aca="false">ROW()-1</f>
        <v>15</v>
      </c>
      <c r="B16" s="27" t="str">
        <f aca="false">IF(ISERROR('試作シート15'!$a$1),"",HYPERLINK("#'試作シート15'!A1","試作シート15"))</f>
        <v/>
      </c>
      <c r="C16" s="28" t="str">
        <f aca="false">IF(ISERROR('試作シート15'!$a$1),"",IF(OR(表紙!$D$4="",'試作シート15'!$d$4="",'試作シート15'!$b$5="",'試作シート15'!$d$5=""),"(入力待ち)",表紙!$D$4&amp;"_"&amp;'試作シート15'!$d$4&amp;"_"&amp;TEXT('試作シート15'!$b$5,"yyyymmdd")&amp;TEXT('試作シート15'!$d$5,"hhmm")&amp;"_"&amp;A16))</f>
        <v/>
      </c>
      <c r="D16" s="29" t="str">
        <f aca="false">IFERROR(IF('試作シート15'!b2="","",'試作シート15'!b2),"")</f>
        <v/>
      </c>
      <c r="E16" s="29" t="str">
        <f aca="false">IFERROR(IF('試作シート15'!b3="","",'試作シート15'!b3),"")</f>
        <v/>
      </c>
      <c r="F16" s="29" t="str">
        <f aca="false">IFERROR(IF('試作シート15'!b4="","",'試作シート15'!b4),"")</f>
        <v/>
      </c>
      <c r="G16" s="29" t="str">
        <f aca="false">IFERROR(IF('試作シート15'!d4="","",'試作シート15'!d4),"")</f>
        <v/>
      </c>
      <c r="H16" s="30" t="str">
        <f aca="false">IFERROR(IF('試作シート15'!b5="","",'試作シート15'!b5),"")</f>
        <v/>
      </c>
      <c r="I16" s="31" t="str">
        <f aca="false">IFERROR(IF('試作シート15'!d5="","",'試作シート15'!d5),"")</f>
        <v/>
      </c>
      <c r="J16" s="30" t="str">
        <f aca="false">IFERROR(IF('試作シート15'!b6="","",'試作シート15'!b6),"")</f>
        <v/>
      </c>
      <c r="K16" s="31" t="str">
        <f aca="false">IFERROR(IF('試作シート15'!d6="","",'試作シート15'!d6),"")</f>
        <v/>
      </c>
      <c r="L16" s="30" t="str">
        <f aca="false">IFERROR(IF('試作シート15'!b7="","",'試作シート15'!b7),"")</f>
        <v/>
      </c>
      <c r="M16" s="32" t="str">
        <f aca="false">IFERROR(IF('試作シート15'!b8="","",'試作シート15'!b8),"")</f>
        <v/>
      </c>
      <c r="N16" s="32" t="str">
        <f aca="false">IFERROR(IF('試作シート15'!b9="","",'試作シート15'!b9),"")</f>
        <v/>
      </c>
    </row>
    <row r="17" customFormat="false" ht="15" hidden="false" customHeight="false" outlineLevel="0" collapsed="false">
      <c r="A17" s="26" t="n">
        <f aca="false">ROW()-1</f>
        <v>16</v>
      </c>
      <c r="B17" s="27" t="str">
        <f aca="false">IF(ISERROR('試作シート16'!$a$1),"",HYPERLINK("#'試作シート16'!A1","試作シート16"))</f>
        <v/>
      </c>
      <c r="C17" s="28" t="str">
        <f aca="false">IF(ISERROR('試作シート16'!$a$1),"",IF(OR(表紙!$D$4="",'試作シート16'!$d$4="",'試作シート16'!$b$5="",'試作シート16'!$d$5=""),"(入力待ち)",表紙!$D$4&amp;"_"&amp;'試作シート16'!$d$4&amp;"_"&amp;TEXT('試作シート16'!$b$5,"yyyymmdd")&amp;TEXT('試作シート16'!$d$5,"hhmm")&amp;"_"&amp;A17))</f>
        <v/>
      </c>
      <c r="D17" s="29" t="str">
        <f aca="false">IFERROR(IF('試作シート16'!b2="","",'試作シート16'!b2),"")</f>
        <v/>
      </c>
      <c r="E17" s="29" t="str">
        <f aca="false">IFERROR(IF('試作シート16'!b3="","",'試作シート16'!b3),"")</f>
        <v/>
      </c>
      <c r="F17" s="29" t="str">
        <f aca="false">IFERROR(IF('試作シート16'!b4="","",'試作シート16'!b4),"")</f>
        <v/>
      </c>
      <c r="G17" s="29" t="str">
        <f aca="false">IFERROR(IF('試作シート16'!d4="","",'試作シート16'!d4),"")</f>
        <v/>
      </c>
      <c r="H17" s="30" t="str">
        <f aca="false">IFERROR(IF('試作シート16'!b5="","",'試作シート16'!b5),"")</f>
        <v/>
      </c>
      <c r="I17" s="31" t="str">
        <f aca="false">IFERROR(IF('試作シート16'!d5="","",'試作シート16'!d5),"")</f>
        <v/>
      </c>
      <c r="J17" s="30" t="str">
        <f aca="false">IFERROR(IF('試作シート16'!b6="","",'試作シート16'!b6),"")</f>
        <v/>
      </c>
      <c r="K17" s="31" t="str">
        <f aca="false">IFERROR(IF('試作シート16'!d6="","",'試作シート16'!d6),"")</f>
        <v/>
      </c>
      <c r="L17" s="30" t="str">
        <f aca="false">IFERROR(IF('試作シート16'!b7="","",'試作シート16'!b7),"")</f>
        <v/>
      </c>
      <c r="M17" s="32" t="str">
        <f aca="false">IFERROR(IF('試作シート16'!b8="","",'試作シート16'!b8),"")</f>
        <v/>
      </c>
      <c r="N17" s="32" t="str">
        <f aca="false">IFERROR(IF('試作シート16'!b9="","",'試作シート16'!b9),"")</f>
        <v/>
      </c>
    </row>
    <row r="18" customFormat="false" ht="15" hidden="false" customHeight="false" outlineLevel="0" collapsed="false">
      <c r="A18" s="26" t="n">
        <f aca="false">ROW()-1</f>
        <v>17</v>
      </c>
      <c r="B18" s="27" t="str">
        <f aca="false">IF(ISERROR('試作シート17'!$a$1),"",HYPERLINK("#'試作シート17'!A1","試作シート17"))</f>
        <v/>
      </c>
      <c r="C18" s="28" t="str">
        <f aca="false">IF(ISERROR('試作シート17'!$a$1),"",IF(OR(表紙!$D$4="",'試作シート17'!$d$4="",'試作シート17'!$b$5="",'試作シート17'!$d$5=""),"(入力待ち)",表紙!$D$4&amp;"_"&amp;'試作シート17'!$d$4&amp;"_"&amp;TEXT('試作シート17'!$b$5,"yyyymmdd")&amp;TEXT('試作シート17'!$d$5,"hhmm")&amp;"_"&amp;A18))</f>
        <v/>
      </c>
      <c r="D18" s="29" t="str">
        <f aca="false">IFERROR(IF('試作シート17'!b2="","",'試作シート17'!b2),"")</f>
        <v/>
      </c>
      <c r="E18" s="29" t="str">
        <f aca="false">IFERROR(IF('試作シート17'!b3="","",'試作シート17'!b3),"")</f>
        <v/>
      </c>
      <c r="F18" s="29" t="str">
        <f aca="false">IFERROR(IF('試作シート17'!b4="","",'試作シート17'!b4),"")</f>
        <v/>
      </c>
      <c r="G18" s="29" t="str">
        <f aca="false">IFERROR(IF('試作シート17'!d4="","",'試作シート17'!d4),"")</f>
        <v/>
      </c>
      <c r="H18" s="30" t="str">
        <f aca="false">IFERROR(IF('試作シート17'!b5="","",'試作シート17'!b5),"")</f>
        <v/>
      </c>
      <c r="I18" s="31" t="str">
        <f aca="false">IFERROR(IF('試作シート17'!d5="","",'試作シート17'!d5),"")</f>
        <v/>
      </c>
      <c r="J18" s="30" t="str">
        <f aca="false">IFERROR(IF('試作シート17'!b6="","",'試作シート17'!b6),"")</f>
        <v/>
      </c>
      <c r="K18" s="31" t="str">
        <f aca="false">IFERROR(IF('試作シート17'!d6="","",'試作シート17'!d6),"")</f>
        <v/>
      </c>
      <c r="L18" s="30" t="str">
        <f aca="false">IFERROR(IF('試作シート17'!b7="","",'試作シート17'!b7),"")</f>
        <v/>
      </c>
      <c r="M18" s="32" t="str">
        <f aca="false">IFERROR(IF('試作シート17'!b8="","",'試作シート17'!b8),"")</f>
        <v/>
      </c>
      <c r="N18" s="32" t="str">
        <f aca="false">IFERROR(IF('試作シート17'!b9="","",'試作シート17'!b9),"")</f>
        <v/>
      </c>
    </row>
    <row r="19" customFormat="false" ht="15" hidden="false" customHeight="false" outlineLevel="0" collapsed="false">
      <c r="A19" s="26" t="n">
        <f aca="false">ROW()-1</f>
        <v>18</v>
      </c>
      <c r="B19" s="27" t="str">
        <f aca="false">IF(ISERROR('試作シート18'!$a$1),"",HYPERLINK("#'試作シート18'!A1","試作シート18"))</f>
        <v/>
      </c>
      <c r="C19" s="28" t="str">
        <f aca="false">IF(ISERROR('試作シート18'!$a$1),"",IF(OR(表紙!$D$4="",'試作シート18'!$d$4="",'試作シート18'!$b$5="",'試作シート18'!$d$5=""),"(入力待ち)",表紙!$D$4&amp;"_"&amp;'試作シート18'!$d$4&amp;"_"&amp;TEXT('試作シート18'!$b$5,"yyyymmdd")&amp;TEXT('試作シート18'!$d$5,"hhmm")&amp;"_"&amp;A19))</f>
        <v/>
      </c>
      <c r="D19" s="29" t="str">
        <f aca="false">IFERROR(IF('試作シート18'!b2="","",'試作シート18'!b2),"")</f>
        <v/>
      </c>
      <c r="E19" s="29" t="str">
        <f aca="false">IFERROR(IF('試作シート18'!b3="","",'試作シート18'!b3),"")</f>
        <v/>
      </c>
      <c r="F19" s="29" t="str">
        <f aca="false">IFERROR(IF('試作シート18'!b4="","",'試作シート18'!b4),"")</f>
        <v/>
      </c>
      <c r="G19" s="29" t="str">
        <f aca="false">IFERROR(IF('試作シート18'!d4="","",'試作シート18'!d4),"")</f>
        <v/>
      </c>
      <c r="H19" s="30" t="str">
        <f aca="false">IFERROR(IF('試作シート18'!b5="","",'試作シート18'!b5),"")</f>
        <v/>
      </c>
      <c r="I19" s="31" t="str">
        <f aca="false">IFERROR(IF('試作シート18'!d5="","",'試作シート18'!d5),"")</f>
        <v/>
      </c>
      <c r="J19" s="30" t="str">
        <f aca="false">IFERROR(IF('試作シート18'!b6="","",'試作シート18'!b6),"")</f>
        <v/>
      </c>
      <c r="K19" s="31" t="str">
        <f aca="false">IFERROR(IF('試作シート18'!d6="","",'試作シート18'!d6),"")</f>
        <v/>
      </c>
      <c r="L19" s="30" t="str">
        <f aca="false">IFERROR(IF('試作シート18'!b7="","",'試作シート18'!b7),"")</f>
        <v/>
      </c>
      <c r="M19" s="32" t="str">
        <f aca="false">IFERROR(IF('試作シート18'!b8="","",'試作シート18'!b8),"")</f>
        <v/>
      </c>
      <c r="N19" s="32" t="str">
        <f aca="false">IFERROR(IF('試作シート18'!b9="","",'試作シート18'!b9),"")</f>
        <v/>
      </c>
    </row>
    <row r="20" customFormat="false" ht="15" hidden="false" customHeight="false" outlineLevel="0" collapsed="false">
      <c r="A20" s="26" t="n">
        <f aca="false">ROW()-1</f>
        <v>19</v>
      </c>
      <c r="B20" s="27" t="str">
        <f aca="false">IF(ISERROR('試作シート19'!$a$1),"",HYPERLINK("#'試作シート19'!A1","試作シート19"))</f>
        <v/>
      </c>
      <c r="C20" s="28" t="str">
        <f aca="false">IF(ISERROR('試作シート19'!$a$1),"",IF(OR(表紙!$D$4="",'試作シート19'!$d$4="",'試作シート19'!$b$5="",'試作シート19'!$d$5=""),"(入力待ち)",表紙!$D$4&amp;"_"&amp;'試作シート19'!$d$4&amp;"_"&amp;TEXT('試作シート19'!$b$5,"yyyymmdd")&amp;TEXT('試作シート19'!$d$5,"hhmm")&amp;"_"&amp;A20))</f>
        <v/>
      </c>
      <c r="D20" s="29" t="str">
        <f aca="false">IFERROR(IF('試作シート19'!b2="","",'試作シート19'!b2),"")</f>
        <v/>
      </c>
      <c r="E20" s="29" t="str">
        <f aca="false">IFERROR(IF('試作シート19'!b3="","",'試作シート19'!b3),"")</f>
        <v/>
      </c>
      <c r="F20" s="29" t="str">
        <f aca="false">IFERROR(IF('試作シート19'!b4="","",'試作シート19'!b4),"")</f>
        <v/>
      </c>
      <c r="G20" s="29" t="str">
        <f aca="false">IFERROR(IF('試作シート19'!d4="","",'試作シート19'!d4),"")</f>
        <v/>
      </c>
      <c r="H20" s="30" t="str">
        <f aca="false">IFERROR(IF('試作シート19'!b5="","",'試作シート19'!b5),"")</f>
        <v/>
      </c>
      <c r="I20" s="31" t="str">
        <f aca="false">IFERROR(IF('試作シート19'!d5="","",'試作シート19'!d5),"")</f>
        <v/>
      </c>
      <c r="J20" s="30" t="str">
        <f aca="false">IFERROR(IF('試作シート19'!b6="","",'試作シート19'!b6),"")</f>
        <v/>
      </c>
      <c r="K20" s="31" t="str">
        <f aca="false">IFERROR(IF('試作シート19'!d6="","",'試作シート19'!d6),"")</f>
        <v/>
      </c>
      <c r="L20" s="30" t="str">
        <f aca="false">IFERROR(IF('試作シート19'!b7="","",'試作シート19'!b7),"")</f>
        <v/>
      </c>
      <c r="M20" s="32" t="str">
        <f aca="false">IFERROR(IF('試作シート19'!b8="","",'試作シート19'!b8),"")</f>
        <v/>
      </c>
      <c r="N20" s="32" t="str">
        <f aca="false">IFERROR(IF('試作シート19'!b9="","",'試作シート19'!b9),"")</f>
        <v/>
      </c>
    </row>
    <row r="21" customFormat="false" ht="15" hidden="false" customHeight="false" outlineLevel="0" collapsed="false">
      <c r="A21" s="26" t="n">
        <f aca="false">ROW()-1</f>
        <v>20</v>
      </c>
      <c r="B21" s="27" t="str">
        <f aca="false">IF(ISERROR('試作シート20'!$a$1),"",HYPERLINK("#'試作シート20'!A1","試作シート20"))</f>
        <v/>
      </c>
      <c r="C21" s="28" t="str">
        <f aca="false">IF(ISERROR('試作シート20'!$a$1),"",IF(OR(表紙!$D$4="",'試作シート20'!$d$4="",'試作シート20'!$b$5="",'試作シート20'!$d$5=""),"(入力待ち)",表紙!$D$4&amp;"_"&amp;'試作シート20'!$d$4&amp;"_"&amp;TEXT('試作シート20'!$b$5,"yyyymmdd")&amp;TEXT('試作シート20'!$d$5,"hhmm")&amp;"_"&amp;A21))</f>
        <v/>
      </c>
      <c r="D21" s="29" t="str">
        <f aca="false">IFERROR(IF('試作シート20'!b2="","",'試作シート20'!b2),"")</f>
        <v/>
      </c>
      <c r="E21" s="29" t="str">
        <f aca="false">IFERROR(IF('試作シート20'!b3="","",'試作シート20'!b3),"")</f>
        <v/>
      </c>
      <c r="F21" s="29" t="str">
        <f aca="false">IFERROR(IF('試作シート20'!b4="","",'試作シート20'!b4),"")</f>
        <v/>
      </c>
      <c r="G21" s="29" t="str">
        <f aca="false">IFERROR(IF('試作シート20'!d4="","",'試作シート20'!d4),"")</f>
        <v/>
      </c>
      <c r="H21" s="30" t="str">
        <f aca="false">IFERROR(IF('試作シート20'!b5="","",'試作シート20'!b5),"")</f>
        <v/>
      </c>
      <c r="I21" s="31" t="str">
        <f aca="false">IFERROR(IF('試作シート20'!d5="","",'試作シート20'!d5),"")</f>
        <v/>
      </c>
      <c r="J21" s="30" t="str">
        <f aca="false">IFERROR(IF('試作シート20'!b6="","",'試作シート20'!b6),"")</f>
        <v/>
      </c>
      <c r="K21" s="31" t="str">
        <f aca="false">IFERROR(IF('試作シート20'!d6="","",'試作シート20'!d6),"")</f>
        <v/>
      </c>
      <c r="L21" s="30" t="str">
        <f aca="false">IFERROR(IF('試作シート20'!b7="","",'試作シート20'!b7),"")</f>
        <v/>
      </c>
      <c r="M21" s="32" t="str">
        <f aca="false">IFERROR(IF('試作シート20'!b8="","",'試作シート20'!b8),"")</f>
        <v/>
      </c>
      <c r="N21" s="32" t="str">
        <f aca="false">IFERROR(IF('試作シート20'!b9="","",'試作シート20'!b9),"")</f>
        <v/>
      </c>
    </row>
    <row r="22" customFormat="false" ht="15" hidden="false" customHeight="false" outlineLevel="0" collapsed="false">
      <c r="A22" s="26" t="n">
        <f aca="false">ROW()-1</f>
        <v>21</v>
      </c>
      <c r="B22" s="27" t="str">
        <f aca="false">IF(ISERROR('試作シート21'!$a$1),"",HYPERLINK("#'試作シート21'!A1","試作シート21"))</f>
        <v/>
      </c>
      <c r="C22" s="28" t="str">
        <f aca="false">IF(ISERROR('試作シート21'!$a$1),"",IF(OR(表紙!$D$4="",'試作シート21'!$d$4="",'試作シート21'!$b$5="",'試作シート21'!$d$5=""),"(入力待ち)",表紙!$D$4&amp;"_"&amp;'試作シート21'!$d$4&amp;"_"&amp;TEXT('試作シート21'!$b$5,"yyyymmdd")&amp;TEXT('試作シート21'!$d$5,"hhmm")&amp;"_"&amp;A22))</f>
        <v/>
      </c>
      <c r="D22" s="29" t="str">
        <f aca="false">IFERROR(IF('試作シート21'!b2="","",'試作シート21'!b2),"")</f>
        <v/>
      </c>
      <c r="E22" s="29" t="str">
        <f aca="false">IFERROR(IF('試作シート21'!b3="","",'試作シート21'!b3),"")</f>
        <v/>
      </c>
      <c r="F22" s="29" t="str">
        <f aca="false">IFERROR(IF('試作シート21'!b4="","",'試作シート21'!b4),"")</f>
        <v/>
      </c>
      <c r="G22" s="29" t="str">
        <f aca="false">IFERROR(IF('試作シート21'!d4="","",'試作シート21'!d4),"")</f>
        <v/>
      </c>
      <c r="H22" s="30" t="str">
        <f aca="false">IFERROR(IF('試作シート21'!b5="","",'試作シート21'!b5),"")</f>
        <v/>
      </c>
      <c r="I22" s="31" t="str">
        <f aca="false">IFERROR(IF('試作シート21'!d5="","",'試作シート21'!d5),"")</f>
        <v/>
      </c>
      <c r="J22" s="30" t="str">
        <f aca="false">IFERROR(IF('試作シート21'!b6="","",'試作シート21'!b6),"")</f>
        <v/>
      </c>
      <c r="K22" s="31" t="str">
        <f aca="false">IFERROR(IF('試作シート21'!d6="","",'試作シート21'!d6),"")</f>
        <v/>
      </c>
      <c r="L22" s="30" t="str">
        <f aca="false">IFERROR(IF('試作シート21'!b7="","",'試作シート21'!b7),"")</f>
        <v/>
      </c>
      <c r="M22" s="32" t="str">
        <f aca="false">IFERROR(IF('試作シート21'!b8="","",'試作シート21'!b8),"")</f>
        <v/>
      </c>
      <c r="N22" s="32" t="str">
        <f aca="false">IFERROR(IF('試作シート21'!b9="","",'試作シート21'!b9),"")</f>
        <v/>
      </c>
    </row>
    <row r="23" customFormat="false" ht="15" hidden="false" customHeight="false" outlineLevel="0" collapsed="false">
      <c r="A23" s="26" t="n">
        <f aca="false">ROW()-1</f>
        <v>22</v>
      </c>
      <c r="B23" s="27" t="str">
        <f aca="false">IF(ISERROR('試作シート22'!$a$1),"",HYPERLINK("#'試作シート22'!A1","試作シート22"))</f>
        <v/>
      </c>
      <c r="C23" s="28" t="str">
        <f aca="false">IF(ISERROR('試作シート22'!$a$1),"",IF(OR(表紙!$D$4="",'試作シート22'!$d$4="",'試作シート22'!$b$5="",'試作シート22'!$d$5=""),"(入力待ち)",表紙!$D$4&amp;"_"&amp;'試作シート22'!$d$4&amp;"_"&amp;TEXT('試作シート22'!$b$5,"yyyymmdd")&amp;TEXT('試作シート22'!$d$5,"hhmm")&amp;"_"&amp;A23))</f>
        <v/>
      </c>
      <c r="D23" s="29" t="str">
        <f aca="false">IFERROR(IF('試作シート22'!b2="","",'試作シート22'!b2),"")</f>
        <v/>
      </c>
      <c r="E23" s="29" t="str">
        <f aca="false">IFERROR(IF('試作シート22'!b3="","",'試作シート22'!b3),"")</f>
        <v/>
      </c>
      <c r="F23" s="29" t="str">
        <f aca="false">IFERROR(IF('試作シート22'!b4="","",'試作シート22'!b4),"")</f>
        <v/>
      </c>
      <c r="G23" s="29" t="str">
        <f aca="false">IFERROR(IF('試作シート22'!d4="","",'試作シート22'!d4),"")</f>
        <v/>
      </c>
      <c r="H23" s="30" t="str">
        <f aca="false">IFERROR(IF('試作シート22'!b5="","",'試作シート22'!b5),"")</f>
        <v/>
      </c>
      <c r="I23" s="31" t="str">
        <f aca="false">IFERROR(IF('試作シート22'!d5="","",'試作シート22'!d5),"")</f>
        <v/>
      </c>
      <c r="J23" s="30" t="str">
        <f aca="false">IFERROR(IF('試作シート22'!b6="","",'試作シート22'!b6),"")</f>
        <v/>
      </c>
      <c r="K23" s="31" t="str">
        <f aca="false">IFERROR(IF('試作シート22'!d6="","",'試作シート22'!d6),"")</f>
        <v/>
      </c>
      <c r="L23" s="30" t="str">
        <f aca="false">IFERROR(IF('試作シート22'!b7="","",'試作シート22'!b7),"")</f>
        <v/>
      </c>
      <c r="M23" s="32" t="str">
        <f aca="false">IFERROR(IF('試作シート22'!b8="","",'試作シート22'!b8),"")</f>
        <v/>
      </c>
      <c r="N23" s="32" t="str">
        <f aca="false">IFERROR(IF('試作シート22'!b9="","",'試作シート22'!b9),"")</f>
        <v/>
      </c>
    </row>
    <row r="24" customFormat="false" ht="15" hidden="false" customHeight="false" outlineLevel="0" collapsed="false">
      <c r="A24" s="26" t="n">
        <f aca="false">ROW()-1</f>
        <v>23</v>
      </c>
      <c r="B24" s="27" t="str">
        <f aca="false">IF(ISERROR('試作シート23'!$a$1),"",HYPERLINK("#'試作シート23'!A1","試作シート23"))</f>
        <v/>
      </c>
      <c r="C24" s="28" t="str">
        <f aca="false">IF(ISERROR('試作シート23'!$a$1),"",IF(OR(表紙!$D$4="",'試作シート23'!$d$4="",'試作シート23'!$b$5="",'試作シート23'!$d$5=""),"(入力待ち)",表紙!$D$4&amp;"_"&amp;'試作シート23'!$d$4&amp;"_"&amp;TEXT('試作シート23'!$b$5,"yyyymmdd")&amp;TEXT('試作シート23'!$d$5,"hhmm")&amp;"_"&amp;A24))</f>
        <v/>
      </c>
      <c r="D24" s="29" t="str">
        <f aca="false">IFERROR(IF('試作シート23'!b2="","",'試作シート23'!b2),"")</f>
        <v/>
      </c>
      <c r="E24" s="29" t="str">
        <f aca="false">IFERROR(IF('試作シート23'!b3="","",'試作シート23'!b3),"")</f>
        <v/>
      </c>
      <c r="F24" s="29" t="str">
        <f aca="false">IFERROR(IF('試作シート23'!b4="","",'試作シート23'!b4),"")</f>
        <v/>
      </c>
      <c r="G24" s="29" t="str">
        <f aca="false">IFERROR(IF('試作シート23'!d4="","",'試作シート23'!d4),"")</f>
        <v/>
      </c>
      <c r="H24" s="30" t="str">
        <f aca="false">IFERROR(IF('試作シート23'!b5="","",'試作シート23'!b5),"")</f>
        <v/>
      </c>
      <c r="I24" s="31" t="str">
        <f aca="false">IFERROR(IF('試作シート23'!d5="","",'試作シート23'!d5),"")</f>
        <v/>
      </c>
      <c r="J24" s="30" t="str">
        <f aca="false">IFERROR(IF('試作シート23'!b6="","",'試作シート23'!b6),"")</f>
        <v/>
      </c>
      <c r="K24" s="31" t="str">
        <f aca="false">IFERROR(IF('試作シート23'!d6="","",'試作シート23'!d6),"")</f>
        <v/>
      </c>
      <c r="L24" s="30" t="str">
        <f aca="false">IFERROR(IF('試作シート23'!b7="","",'試作シート23'!b7),"")</f>
        <v/>
      </c>
      <c r="M24" s="32" t="str">
        <f aca="false">IFERROR(IF('試作シート23'!b8="","",'試作シート23'!b8),"")</f>
        <v/>
      </c>
      <c r="N24" s="32" t="str">
        <f aca="false">IFERROR(IF('試作シート23'!b9="","",'試作シート23'!b9),"")</f>
        <v/>
      </c>
    </row>
    <row r="25" customFormat="false" ht="15" hidden="false" customHeight="false" outlineLevel="0" collapsed="false">
      <c r="A25" s="26" t="n">
        <f aca="false">ROW()-1</f>
        <v>24</v>
      </c>
      <c r="B25" s="27" t="str">
        <f aca="false">IF(ISERROR('試作シート24'!$a$1),"",HYPERLINK("#'試作シート24'!A1","試作シート24"))</f>
        <v/>
      </c>
      <c r="C25" s="28" t="str">
        <f aca="false">IF(ISERROR('試作シート24'!$a$1),"",IF(OR(表紙!$D$4="",'試作シート24'!$d$4="",'試作シート24'!$b$5="",'試作シート24'!$d$5=""),"(入力待ち)",表紙!$D$4&amp;"_"&amp;'試作シート24'!$d$4&amp;"_"&amp;TEXT('試作シート24'!$b$5,"yyyymmdd")&amp;TEXT('試作シート24'!$d$5,"hhmm")&amp;"_"&amp;A25))</f>
        <v/>
      </c>
      <c r="D25" s="29" t="str">
        <f aca="false">IFERROR(IF('試作シート24'!b2="","",'試作シート24'!b2),"")</f>
        <v/>
      </c>
      <c r="E25" s="29" t="str">
        <f aca="false">IFERROR(IF('試作シート24'!b3="","",'試作シート24'!b3),"")</f>
        <v/>
      </c>
      <c r="F25" s="29" t="str">
        <f aca="false">IFERROR(IF('試作シート24'!b4="","",'試作シート24'!b4),"")</f>
        <v/>
      </c>
      <c r="G25" s="29" t="str">
        <f aca="false">IFERROR(IF('試作シート24'!d4="","",'試作シート24'!d4),"")</f>
        <v/>
      </c>
      <c r="H25" s="30" t="str">
        <f aca="false">IFERROR(IF('試作シート24'!b5="","",'試作シート24'!b5),"")</f>
        <v/>
      </c>
      <c r="I25" s="31" t="str">
        <f aca="false">IFERROR(IF('試作シート24'!d5="","",'試作シート24'!d5),"")</f>
        <v/>
      </c>
      <c r="J25" s="30" t="str">
        <f aca="false">IFERROR(IF('試作シート24'!b6="","",'試作シート24'!b6),"")</f>
        <v/>
      </c>
      <c r="K25" s="31" t="str">
        <f aca="false">IFERROR(IF('試作シート24'!d6="","",'試作シート24'!d6),"")</f>
        <v/>
      </c>
      <c r="L25" s="30" t="str">
        <f aca="false">IFERROR(IF('試作シート24'!b7="","",'試作シート24'!b7),"")</f>
        <v/>
      </c>
      <c r="M25" s="32" t="str">
        <f aca="false">IFERROR(IF('試作シート24'!b8="","",'試作シート24'!b8),"")</f>
        <v/>
      </c>
      <c r="N25" s="32" t="str">
        <f aca="false">IFERROR(IF('試作シート24'!b9="","",'試作シート24'!b9),"")</f>
        <v/>
      </c>
    </row>
    <row r="26" customFormat="false" ht="15" hidden="false" customHeight="false" outlineLevel="0" collapsed="false">
      <c r="A26" s="26" t="n">
        <f aca="false">ROW()-1</f>
        <v>25</v>
      </c>
      <c r="B26" s="27" t="str">
        <f aca="false">IF(ISERROR('試作シート25'!$a$1),"",HYPERLINK("#'試作シート25'!A1","試作シート25"))</f>
        <v/>
      </c>
      <c r="C26" s="28" t="str">
        <f aca="false">IF(ISERROR('試作シート25'!$a$1),"",IF(OR(表紙!$D$4="",'試作シート25'!$d$4="",'試作シート25'!$b$5="",'試作シート25'!$d$5=""),"(入力待ち)",表紙!$D$4&amp;"_"&amp;'試作シート25'!$d$4&amp;"_"&amp;TEXT('試作シート25'!$b$5,"yyyymmdd")&amp;TEXT('試作シート25'!$d$5,"hhmm")&amp;"_"&amp;A26))</f>
        <v/>
      </c>
      <c r="D26" s="29" t="str">
        <f aca="false">IFERROR(IF('試作シート25'!b2="","",'試作シート25'!b2),"")</f>
        <v/>
      </c>
      <c r="E26" s="29" t="str">
        <f aca="false">IFERROR(IF('試作シート25'!b3="","",'試作シート25'!b3),"")</f>
        <v/>
      </c>
      <c r="F26" s="29" t="str">
        <f aca="false">IFERROR(IF('試作シート25'!b4="","",'試作シート25'!b4),"")</f>
        <v/>
      </c>
      <c r="G26" s="29" t="str">
        <f aca="false">IFERROR(IF('試作シート25'!d4="","",'試作シート25'!d4),"")</f>
        <v/>
      </c>
      <c r="H26" s="30" t="str">
        <f aca="false">IFERROR(IF('試作シート25'!b5="","",'試作シート25'!b5),"")</f>
        <v/>
      </c>
      <c r="I26" s="31" t="str">
        <f aca="false">IFERROR(IF('試作シート25'!d5="","",'試作シート25'!d5),"")</f>
        <v/>
      </c>
      <c r="J26" s="30" t="str">
        <f aca="false">IFERROR(IF('試作シート25'!b6="","",'試作シート25'!b6),"")</f>
        <v/>
      </c>
      <c r="K26" s="31" t="str">
        <f aca="false">IFERROR(IF('試作シート25'!d6="","",'試作シート25'!d6),"")</f>
        <v/>
      </c>
      <c r="L26" s="30" t="str">
        <f aca="false">IFERROR(IF('試作シート25'!b7="","",'試作シート25'!b7),"")</f>
        <v/>
      </c>
      <c r="M26" s="32" t="str">
        <f aca="false">IFERROR(IF('試作シート25'!b8="","",'試作シート25'!b8),"")</f>
        <v/>
      </c>
      <c r="N26" s="32" t="str">
        <f aca="false">IFERROR(IF('試作シート25'!b9="","",'試作シート25'!b9),"")</f>
        <v/>
      </c>
    </row>
    <row r="27" customFormat="false" ht="15" hidden="false" customHeight="false" outlineLevel="0" collapsed="false">
      <c r="A27" s="26" t="n">
        <f aca="false">ROW()-1</f>
        <v>26</v>
      </c>
      <c r="B27" s="27" t="str">
        <f aca="false">IF(ISERROR('試作シート26'!$a$1),"",HYPERLINK("#'試作シート26'!A1","試作シート26"))</f>
        <v/>
      </c>
      <c r="C27" s="28" t="str">
        <f aca="false">IF(ISERROR('試作シート26'!$a$1),"",IF(OR(表紙!$D$4="",'試作シート26'!$d$4="",'試作シート26'!$b$5="",'試作シート26'!$d$5=""),"(入力待ち)",表紙!$D$4&amp;"_"&amp;'試作シート26'!$d$4&amp;"_"&amp;TEXT('試作シート26'!$b$5,"yyyymmdd")&amp;TEXT('試作シート26'!$d$5,"hhmm")&amp;"_"&amp;A27))</f>
        <v/>
      </c>
      <c r="D27" s="29" t="str">
        <f aca="false">IFERROR(IF('試作シート26'!b2="","",'試作シート26'!b2),"")</f>
        <v/>
      </c>
      <c r="E27" s="29" t="str">
        <f aca="false">IFERROR(IF('試作シート26'!b3="","",'試作シート26'!b3),"")</f>
        <v/>
      </c>
      <c r="F27" s="29" t="str">
        <f aca="false">IFERROR(IF('試作シート26'!b4="","",'試作シート26'!b4),"")</f>
        <v/>
      </c>
      <c r="G27" s="29" t="str">
        <f aca="false">IFERROR(IF('試作シート26'!d4="","",'試作シート26'!d4),"")</f>
        <v/>
      </c>
      <c r="H27" s="30" t="str">
        <f aca="false">IFERROR(IF('試作シート26'!b5="","",'試作シート26'!b5),"")</f>
        <v/>
      </c>
      <c r="I27" s="31" t="str">
        <f aca="false">IFERROR(IF('試作シート26'!d5="","",'試作シート26'!d5),"")</f>
        <v/>
      </c>
      <c r="J27" s="30" t="str">
        <f aca="false">IFERROR(IF('試作シート26'!b6="","",'試作シート26'!b6),"")</f>
        <v/>
      </c>
      <c r="K27" s="31" t="str">
        <f aca="false">IFERROR(IF('試作シート26'!d6="","",'試作シート26'!d6),"")</f>
        <v/>
      </c>
      <c r="L27" s="30" t="str">
        <f aca="false">IFERROR(IF('試作シート26'!b7="","",'試作シート26'!b7),"")</f>
        <v/>
      </c>
      <c r="M27" s="32" t="str">
        <f aca="false">IFERROR(IF('試作シート26'!b8="","",'試作シート26'!b8),"")</f>
        <v/>
      </c>
      <c r="N27" s="32" t="str">
        <f aca="false">IFERROR(IF('試作シート26'!b9="","",'試作シート26'!b9),"")</f>
        <v/>
      </c>
    </row>
    <row r="28" customFormat="false" ht="15" hidden="false" customHeight="false" outlineLevel="0" collapsed="false">
      <c r="A28" s="26" t="n">
        <f aca="false">ROW()-1</f>
        <v>27</v>
      </c>
      <c r="B28" s="27" t="str">
        <f aca="false">IF(ISERROR('試作シート27'!$a$1),"",HYPERLINK("#'試作シート27'!A1","試作シート27"))</f>
        <v/>
      </c>
      <c r="C28" s="28" t="str">
        <f aca="false">IF(ISERROR('試作シート27'!$a$1),"",IF(OR(表紙!$D$4="",'試作シート27'!$d$4="",'試作シート27'!$b$5="",'試作シート27'!$d$5=""),"(入力待ち)",表紙!$D$4&amp;"_"&amp;'試作シート27'!$d$4&amp;"_"&amp;TEXT('試作シート27'!$b$5,"yyyymmdd")&amp;TEXT('試作シート27'!$d$5,"hhmm")&amp;"_"&amp;A28))</f>
        <v/>
      </c>
      <c r="D28" s="29" t="str">
        <f aca="false">IFERROR(IF('試作シート27'!b2="","",'試作シート27'!b2),"")</f>
        <v/>
      </c>
      <c r="E28" s="29" t="str">
        <f aca="false">IFERROR(IF('試作シート27'!b3="","",'試作シート27'!b3),"")</f>
        <v/>
      </c>
      <c r="F28" s="29" t="str">
        <f aca="false">IFERROR(IF('試作シート27'!b4="","",'試作シート27'!b4),"")</f>
        <v/>
      </c>
      <c r="G28" s="29" t="str">
        <f aca="false">IFERROR(IF('試作シート27'!d4="","",'試作シート27'!d4),"")</f>
        <v/>
      </c>
      <c r="H28" s="30" t="str">
        <f aca="false">IFERROR(IF('試作シート27'!b5="","",'試作シート27'!b5),"")</f>
        <v/>
      </c>
      <c r="I28" s="31" t="str">
        <f aca="false">IFERROR(IF('試作シート27'!d5="","",'試作シート27'!d5),"")</f>
        <v/>
      </c>
      <c r="J28" s="30" t="str">
        <f aca="false">IFERROR(IF('試作シート27'!b6="","",'試作シート27'!b6),"")</f>
        <v/>
      </c>
      <c r="K28" s="31" t="str">
        <f aca="false">IFERROR(IF('試作シート27'!d6="","",'試作シート27'!d6),"")</f>
        <v/>
      </c>
      <c r="L28" s="30" t="str">
        <f aca="false">IFERROR(IF('試作シート27'!b7="","",'試作シート27'!b7),"")</f>
        <v/>
      </c>
      <c r="M28" s="32" t="str">
        <f aca="false">IFERROR(IF('試作シート27'!b8="","",'試作シート27'!b8),"")</f>
        <v/>
      </c>
      <c r="N28" s="32" t="str">
        <f aca="false">IFERROR(IF('試作シート27'!b9="","",'試作シート27'!b9),"")</f>
        <v/>
      </c>
    </row>
    <row r="29" customFormat="false" ht="15" hidden="false" customHeight="false" outlineLevel="0" collapsed="false">
      <c r="A29" s="26" t="n">
        <f aca="false">ROW()-1</f>
        <v>28</v>
      </c>
      <c r="B29" s="27" t="str">
        <f aca="false">IF(ISERROR('試作シート28'!$a$1),"",HYPERLINK("#'試作シート28'!A1","試作シート28"))</f>
        <v/>
      </c>
      <c r="C29" s="28" t="str">
        <f aca="false">IF(ISERROR('試作シート28'!$a$1),"",IF(OR(表紙!$D$4="",'試作シート28'!$d$4="",'試作シート28'!$b$5="",'試作シート28'!$d$5=""),"(入力待ち)",表紙!$D$4&amp;"_"&amp;'試作シート28'!$d$4&amp;"_"&amp;TEXT('試作シート28'!$b$5,"yyyymmdd")&amp;TEXT('試作シート28'!$d$5,"hhmm")&amp;"_"&amp;A29))</f>
        <v/>
      </c>
      <c r="D29" s="29" t="str">
        <f aca="false">IFERROR(IF('試作シート28'!b2="","",'試作シート28'!b2),"")</f>
        <v/>
      </c>
      <c r="E29" s="29" t="str">
        <f aca="false">IFERROR(IF('試作シート28'!b3="","",'試作シート28'!b3),"")</f>
        <v/>
      </c>
      <c r="F29" s="29" t="str">
        <f aca="false">IFERROR(IF('試作シート28'!b4="","",'試作シート28'!b4),"")</f>
        <v/>
      </c>
      <c r="G29" s="29" t="str">
        <f aca="false">IFERROR(IF('試作シート28'!d4="","",'試作シート28'!d4),"")</f>
        <v/>
      </c>
      <c r="H29" s="30" t="str">
        <f aca="false">IFERROR(IF('試作シート28'!b5="","",'試作シート28'!b5),"")</f>
        <v/>
      </c>
      <c r="I29" s="31" t="str">
        <f aca="false">IFERROR(IF('試作シート28'!d5="","",'試作シート28'!d5),"")</f>
        <v/>
      </c>
      <c r="J29" s="30" t="str">
        <f aca="false">IFERROR(IF('試作シート28'!b6="","",'試作シート28'!b6),"")</f>
        <v/>
      </c>
      <c r="K29" s="31" t="str">
        <f aca="false">IFERROR(IF('試作シート28'!d6="","",'試作シート28'!d6),"")</f>
        <v/>
      </c>
      <c r="L29" s="30" t="str">
        <f aca="false">IFERROR(IF('試作シート28'!b7="","",'試作シート28'!b7),"")</f>
        <v/>
      </c>
      <c r="M29" s="32" t="str">
        <f aca="false">IFERROR(IF('試作シート28'!b8="","",'試作シート28'!b8),"")</f>
        <v/>
      </c>
      <c r="N29" s="32" t="str">
        <f aca="false">IFERROR(IF('試作シート28'!b9="","",'試作シート28'!b9),"")</f>
        <v/>
      </c>
    </row>
    <row r="30" customFormat="false" ht="15" hidden="false" customHeight="false" outlineLevel="0" collapsed="false">
      <c r="A30" s="26" t="n">
        <f aca="false">ROW()-1</f>
        <v>29</v>
      </c>
      <c r="B30" s="27" t="str">
        <f aca="false">IF(ISERROR('試作シート29'!$a$1),"",HYPERLINK("#'試作シート29'!A1","試作シート29"))</f>
        <v/>
      </c>
      <c r="C30" s="28" t="str">
        <f aca="false">IF(ISERROR('試作シート29'!$a$1),"",IF(OR(表紙!$D$4="",'試作シート29'!$d$4="",'試作シート29'!$b$5="",'試作シート29'!$d$5=""),"(入力待ち)",表紙!$D$4&amp;"_"&amp;'試作シート29'!$d$4&amp;"_"&amp;TEXT('試作シート29'!$b$5,"yyyymmdd")&amp;TEXT('試作シート29'!$d$5,"hhmm")&amp;"_"&amp;A30))</f>
        <v/>
      </c>
      <c r="D30" s="29" t="str">
        <f aca="false">IFERROR(IF('試作シート29'!b2="","",'試作シート29'!b2),"")</f>
        <v/>
      </c>
      <c r="E30" s="29" t="str">
        <f aca="false">IFERROR(IF('試作シート29'!b3="","",'試作シート29'!b3),"")</f>
        <v/>
      </c>
      <c r="F30" s="29" t="str">
        <f aca="false">IFERROR(IF('試作シート29'!b4="","",'試作シート29'!b4),"")</f>
        <v/>
      </c>
      <c r="G30" s="29" t="str">
        <f aca="false">IFERROR(IF('試作シート29'!d4="","",'試作シート29'!d4),"")</f>
        <v/>
      </c>
      <c r="H30" s="30" t="str">
        <f aca="false">IFERROR(IF('試作シート29'!b5="","",'試作シート29'!b5),"")</f>
        <v/>
      </c>
      <c r="I30" s="31" t="str">
        <f aca="false">IFERROR(IF('試作シート29'!d5="","",'試作シート29'!d5),"")</f>
        <v/>
      </c>
      <c r="J30" s="30" t="str">
        <f aca="false">IFERROR(IF('試作シート29'!b6="","",'試作シート29'!b6),"")</f>
        <v/>
      </c>
      <c r="K30" s="31" t="str">
        <f aca="false">IFERROR(IF('試作シート29'!d6="","",'試作シート29'!d6),"")</f>
        <v/>
      </c>
      <c r="L30" s="30" t="str">
        <f aca="false">IFERROR(IF('試作シート29'!b7="","",'試作シート29'!b7),"")</f>
        <v/>
      </c>
      <c r="M30" s="32" t="str">
        <f aca="false">IFERROR(IF('試作シート29'!b8="","",'試作シート29'!b8),"")</f>
        <v/>
      </c>
      <c r="N30" s="32" t="str">
        <f aca="false">IFERROR(IF('試作シート29'!b9="","",'試作シート29'!b9),"")</f>
        <v/>
      </c>
    </row>
    <row r="31" customFormat="false" ht="15" hidden="false" customHeight="false" outlineLevel="0" collapsed="false">
      <c r="A31" s="26" t="n">
        <f aca="false">ROW()-1</f>
        <v>30</v>
      </c>
      <c r="B31" s="27" t="str">
        <f aca="false">IF(ISERROR('試作シート30'!$a$1),"",HYPERLINK("#'試作シート30'!A1","試作シート30"))</f>
        <v/>
      </c>
      <c r="C31" s="28" t="str">
        <f aca="false">IF(ISERROR('試作シート30'!$a$1),"",IF(OR(表紙!$D$4="",'試作シート30'!$d$4="",'試作シート30'!$b$5="",'試作シート30'!$d$5=""),"(入力待ち)",表紙!$D$4&amp;"_"&amp;'試作シート30'!$d$4&amp;"_"&amp;TEXT('試作シート30'!$b$5,"yyyymmdd")&amp;TEXT('試作シート30'!$d$5,"hhmm")&amp;"_"&amp;A31))</f>
        <v/>
      </c>
      <c r="D31" s="29" t="str">
        <f aca="false">IFERROR(IF('試作シート30'!b2="","",'試作シート30'!b2),"")</f>
        <v/>
      </c>
      <c r="E31" s="29" t="str">
        <f aca="false">IFERROR(IF('試作シート30'!b3="","",'試作シート30'!b3),"")</f>
        <v/>
      </c>
      <c r="F31" s="29" t="str">
        <f aca="false">IFERROR(IF('試作シート30'!b4="","",'試作シート30'!b4),"")</f>
        <v/>
      </c>
      <c r="G31" s="29" t="str">
        <f aca="false">IFERROR(IF('試作シート30'!d4="","",'試作シート30'!d4),"")</f>
        <v/>
      </c>
      <c r="H31" s="30" t="str">
        <f aca="false">IFERROR(IF('試作シート30'!b5="","",'試作シート30'!b5),"")</f>
        <v/>
      </c>
      <c r="I31" s="31" t="str">
        <f aca="false">IFERROR(IF('試作シート30'!d5="","",'試作シート30'!d5),"")</f>
        <v/>
      </c>
      <c r="J31" s="30" t="str">
        <f aca="false">IFERROR(IF('試作シート30'!b6="","",'試作シート30'!b6),"")</f>
        <v/>
      </c>
      <c r="K31" s="31" t="str">
        <f aca="false">IFERROR(IF('試作シート30'!d6="","",'試作シート30'!d6),"")</f>
        <v/>
      </c>
      <c r="L31" s="30" t="str">
        <f aca="false">IFERROR(IF('試作シート30'!b7="","",'試作シート30'!b7),"")</f>
        <v/>
      </c>
      <c r="M31" s="32" t="str">
        <f aca="false">IFERROR(IF('試作シート30'!b8="","",'試作シート30'!b8),"")</f>
        <v/>
      </c>
      <c r="N31" s="32" t="str">
        <f aca="false">IFERROR(IF('試作シート30'!b9="","",'試作シート30'!b9),"")</f>
        <v/>
      </c>
    </row>
    <row r="32" customFormat="false" ht="15" hidden="false" customHeight="false" outlineLevel="0" collapsed="false">
      <c r="A32" s="26" t="n">
        <f aca="false">ROW()-1</f>
        <v>31</v>
      </c>
      <c r="B32" s="27" t="str">
        <f aca="false">IF(ISERROR('試作シート31'!$a$1),"",HYPERLINK("#'試作シート31'!A1","試作シート31"))</f>
        <v/>
      </c>
      <c r="C32" s="28" t="str">
        <f aca="false">IF(ISERROR('試作シート31'!$a$1),"",IF(OR(表紙!$D$4="",'試作シート31'!$d$4="",'試作シート31'!$b$5="",'試作シート31'!$d$5=""),"(入力待ち)",表紙!$D$4&amp;"_"&amp;'試作シート31'!$d$4&amp;"_"&amp;TEXT('試作シート31'!$b$5,"yyyymmdd")&amp;TEXT('試作シート31'!$d$5,"hhmm")&amp;"_"&amp;A32))</f>
        <v/>
      </c>
      <c r="D32" s="29" t="str">
        <f aca="false">IFERROR(IF('試作シート31'!b2="","",'試作シート31'!b2),"")</f>
        <v/>
      </c>
      <c r="E32" s="29" t="str">
        <f aca="false">IFERROR(IF('試作シート31'!b3="","",'試作シート31'!b3),"")</f>
        <v/>
      </c>
      <c r="F32" s="29" t="str">
        <f aca="false">IFERROR(IF('試作シート31'!b4="","",'試作シート31'!b4),"")</f>
        <v/>
      </c>
      <c r="G32" s="29" t="str">
        <f aca="false">IFERROR(IF('試作シート31'!d4="","",'試作シート31'!d4),"")</f>
        <v/>
      </c>
      <c r="H32" s="30" t="str">
        <f aca="false">IFERROR(IF('試作シート31'!b5="","",'試作シート31'!b5),"")</f>
        <v/>
      </c>
      <c r="I32" s="31" t="str">
        <f aca="false">IFERROR(IF('試作シート31'!d5="","",'試作シート31'!d5),"")</f>
        <v/>
      </c>
      <c r="J32" s="30" t="str">
        <f aca="false">IFERROR(IF('試作シート31'!b6="","",'試作シート31'!b6),"")</f>
        <v/>
      </c>
      <c r="K32" s="31" t="str">
        <f aca="false">IFERROR(IF('試作シート31'!d6="","",'試作シート31'!d6),"")</f>
        <v/>
      </c>
      <c r="L32" s="30" t="str">
        <f aca="false">IFERROR(IF('試作シート31'!b7="","",'試作シート31'!b7),"")</f>
        <v/>
      </c>
      <c r="M32" s="32" t="str">
        <f aca="false">IFERROR(IF('試作シート31'!b8="","",'試作シート31'!b8),"")</f>
        <v/>
      </c>
      <c r="N32" s="32" t="str">
        <f aca="false">IFERROR(IF('試作シート31'!b9="","",'試作シート31'!b9),"")</f>
        <v/>
      </c>
    </row>
    <row r="33" customFormat="false" ht="15" hidden="false" customHeight="false" outlineLevel="0" collapsed="false">
      <c r="A33" s="26" t="n">
        <f aca="false">ROW()-1</f>
        <v>32</v>
      </c>
      <c r="B33" s="27" t="str">
        <f aca="false">IF(ISERROR('試作シート32'!$a$1),"",HYPERLINK("#'試作シート32'!A1","試作シート32"))</f>
        <v/>
      </c>
      <c r="C33" s="28" t="str">
        <f aca="false">IF(ISERROR('試作シート32'!$a$1),"",IF(OR(表紙!$D$4="",'試作シート32'!$d$4="",'試作シート32'!$b$5="",'試作シート32'!$d$5=""),"(入力待ち)",表紙!$D$4&amp;"_"&amp;'試作シート32'!$d$4&amp;"_"&amp;TEXT('試作シート32'!$b$5,"yyyymmdd")&amp;TEXT('試作シート32'!$d$5,"hhmm")&amp;"_"&amp;A33))</f>
        <v/>
      </c>
      <c r="D33" s="29" t="str">
        <f aca="false">IFERROR(IF('試作シート32'!b2="","",'試作シート32'!b2),"")</f>
        <v/>
      </c>
      <c r="E33" s="29" t="str">
        <f aca="false">IFERROR(IF('試作シート32'!b3="","",'試作シート32'!b3),"")</f>
        <v/>
      </c>
      <c r="F33" s="29" t="str">
        <f aca="false">IFERROR(IF('試作シート32'!b4="","",'試作シート32'!b4),"")</f>
        <v/>
      </c>
      <c r="G33" s="29" t="str">
        <f aca="false">IFERROR(IF('試作シート32'!d4="","",'試作シート32'!d4),"")</f>
        <v/>
      </c>
      <c r="H33" s="30" t="str">
        <f aca="false">IFERROR(IF('試作シート32'!b5="","",'試作シート32'!b5),"")</f>
        <v/>
      </c>
      <c r="I33" s="31" t="str">
        <f aca="false">IFERROR(IF('試作シート32'!d5="","",'試作シート32'!d5),"")</f>
        <v/>
      </c>
      <c r="J33" s="30" t="str">
        <f aca="false">IFERROR(IF('試作シート32'!b6="","",'試作シート32'!b6),"")</f>
        <v/>
      </c>
      <c r="K33" s="31" t="str">
        <f aca="false">IFERROR(IF('試作シート32'!d6="","",'試作シート32'!d6),"")</f>
        <v/>
      </c>
      <c r="L33" s="30" t="str">
        <f aca="false">IFERROR(IF('試作シート32'!b7="","",'試作シート32'!b7),"")</f>
        <v/>
      </c>
      <c r="M33" s="32" t="str">
        <f aca="false">IFERROR(IF('試作シート32'!b8="","",'試作シート32'!b8),"")</f>
        <v/>
      </c>
      <c r="N33" s="32" t="str">
        <f aca="false">IFERROR(IF('試作シート32'!b9="","",'試作シート32'!b9),"")</f>
        <v/>
      </c>
    </row>
    <row r="34" customFormat="false" ht="15" hidden="false" customHeight="false" outlineLevel="0" collapsed="false">
      <c r="A34" s="26" t="n">
        <f aca="false">ROW()-1</f>
        <v>33</v>
      </c>
      <c r="B34" s="27" t="str">
        <f aca="false">IF(ISERROR('試作シート33'!$a$1),"",HYPERLINK("#'試作シート33'!A1","試作シート33"))</f>
        <v/>
      </c>
      <c r="C34" s="28" t="str">
        <f aca="false">IF(ISERROR('試作シート33'!$a$1),"",IF(OR(表紙!$D$4="",'試作シート33'!$d$4="",'試作シート33'!$b$5="",'試作シート33'!$d$5=""),"(入力待ち)",表紙!$D$4&amp;"_"&amp;'試作シート33'!$d$4&amp;"_"&amp;TEXT('試作シート33'!$b$5,"yyyymmdd")&amp;TEXT('試作シート33'!$d$5,"hhmm")&amp;"_"&amp;A34))</f>
        <v/>
      </c>
      <c r="D34" s="29" t="str">
        <f aca="false">IFERROR(IF('試作シート33'!b2="","",'試作シート33'!b2),"")</f>
        <v/>
      </c>
      <c r="E34" s="29" t="str">
        <f aca="false">IFERROR(IF('試作シート33'!b3="","",'試作シート33'!b3),"")</f>
        <v/>
      </c>
      <c r="F34" s="29" t="str">
        <f aca="false">IFERROR(IF('試作シート33'!b4="","",'試作シート33'!b4),"")</f>
        <v/>
      </c>
      <c r="G34" s="29" t="str">
        <f aca="false">IFERROR(IF('試作シート33'!d4="","",'試作シート33'!d4),"")</f>
        <v/>
      </c>
      <c r="H34" s="30" t="str">
        <f aca="false">IFERROR(IF('試作シート33'!b5="","",'試作シート33'!b5),"")</f>
        <v/>
      </c>
      <c r="I34" s="31" t="str">
        <f aca="false">IFERROR(IF('試作シート33'!d5="","",'試作シート33'!d5),"")</f>
        <v/>
      </c>
      <c r="J34" s="30" t="str">
        <f aca="false">IFERROR(IF('試作シート33'!b6="","",'試作シート33'!b6),"")</f>
        <v/>
      </c>
      <c r="K34" s="31" t="str">
        <f aca="false">IFERROR(IF('試作シート33'!d6="","",'試作シート33'!d6),"")</f>
        <v/>
      </c>
      <c r="L34" s="30" t="str">
        <f aca="false">IFERROR(IF('試作シート33'!b7="","",'試作シート33'!b7),"")</f>
        <v/>
      </c>
      <c r="M34" s="32" t="str">
        <f aca="false">IFERROR(IF('試作シート33'!b8="","",'試作シート33'!b8),"")</f>
        <v/>
      </c>
      <c r="N34" s="32" t="str">
        <f aca="false">IFERROR(IF('試作シート33'!b9="","",'試作シート33'!b9),"")</f>
        <v/>
      </c>
    </row>
    <row r="35" customFormat="false" ht="15" hidden="false" customHeight="false" outlineLevel="0" collapsed="false">
      <c r="A35" s="26" t="n">
        <f aca="false">ROW()-1</f>
        <v>34</v>
      </c>
      <c r="B35" s="27" t="str">
        <f aca="false">IF(ISERROR('試作シート34'!$a$1),"",HYPERLINK("#'試作シート34'!A1","試作シート34"))</f>
        <v/>
      </c>
      <c r="C35" s="28" t="str">
        <f aca="false">IF(ISERROR('試作シート34'!$a$1),"",IF(OR(表紙!$D$4="",'試作シート34'!$d$4="",'試作シート34'!$b$5="",'試作シート34'!$d$5=""),"(入力待ち)",表紙!$D$4&amp;"_"&amp;'試作シート34'!$d$4&amp;"_"&amp;TEXT('試作シート34'!$b$5,"yyyymmdd")&amp;TEXT('試作シート34'!$d$5,"hhmm")&amp;"_"&amp;A35))</f>
        <v/>
      </c>
      <c r="D35" s="29" t="str">
        <f aca="false">IFERROR(IF('試作シート34'!b2="","",'試作シート34'!b2),"")</f>
        <v/>
      </c>
      <c r="E35" s="29" t="str">
        <f aca="false">IFERROR(IF('試作シート34'!b3="","",'試作シート34'!b3),"")</f>
        <v/>
      </c>
      <c r="F35" s="29" t="str">
        <f aca="false">IFERROR(IF('試作シート34'!b4="","",'試作シート34'!b4),"")</f>
        <v/>
      </c>
      <c r="G35" s="29" t="str">
        <f aca="false">IFERROR(IF('試作シート34'!d4="","",'試作シート34'!d4),"")</f>
        <v/>
      </c>
      <c r="H35" s="30" t="str">
        <f aca="false">IFERROR(IF('試作シート34'!b5="","",'試作シート34'!b5),"")</f>
        <v/>
      </c>
      <c r="I35" s="31" t="str">
        <f aca="false">IFERROR(IF('試作シート34'!d5="","",'試作シート34'!d5),"")</f>
        <v/>
      </c>
      <c r="J35" s="30" t="str">
        <f aca="false">IFERROR(IF('試作シート34'!b6="","",'試作シート34'!b6),"")</f>
        <v/>
      </c>
      <c r="K35" s="31" t="str">
        <f aca="false">IFERROR(IF('試作シート34'!d6="","",'試作シート34'!d6),"")</f>
        <v/>
      </c>
      <c r="L35" s="30" t="str">
        <f aca="false">IFERROR(IF('試作シート34'!b7="","",'試作シート34'!b7),"")</f>
        <v/>
      </c>
      <c r="M35" s="32" t="str">
        <f aca="false">IFERROR(IF('試作シート34'!b8="","",'試作シート34'!b8),"")</f>
        <v/>
      </c>
      <c r="N35" s="32" t="str">
        <f aca="false">IFERROR(IF('試作シート34'!b9="","",'試作シート34'!b9),"")</f>
        <v/>
      </c>
    </row>
    <row r="36" customFormat="false" ht="15" hidden="false" customHeight="false" outlineLevel="0" collapsed="false">
      <c r="A36" s="26" t="n">
        <f aca="false">ROW()-1</f>
        <v>35</v>
      </c>
      <c r="B36" s="27" t="str">
        <f aca="false">IF(ISERROR('試作シート35'!$a$1),"",HYPERLINK("#'試作シート35'!A1","試作シート35"))</f>
        <v/>
      </c>
      <c r="C36" s="28" t="str">
        <f aca="false">IF(ISERROR('試作シート35'!$a$1),"",IF(OR(表紙!$D$4="",'試作シート35'!$d$4="",'試作シート35'!$b$5="",'試作シート35'!$d$5=""),"(入力待ち)",表紙!$D$4&amp;"_"&amp;'試作シート35'!$d$4&amp;"_"&amp;TEXT('試作シート35'!$b$5,"yyyymmdd")&amp;TEXT('試作シート35'!$d$5,"hhmm")&amp;"_"&amp;A36))</f>
        <v/>
      </c>
      <c r="D36" s="29" t="str">
        <f aca="false">IFERROR(IF('試作シート35'!b2="","",'試作シート35'!b2),"")</f>
        <v/>
      </c>
      <c r="E36" s="29" t="str">
        <f aca="false">IFERROR(IF('試作シート35'!b3="","",'試作シート35'!b3),"")</f>
        <v/>
      </c>
      <c r="F36" s="29" t="str">
        <f aca="false">IFERROR(IF('試作シート35'!b4="","",'試作シート35'!b4),"")</f>
        <v/>
      </c>
      <c r="G36" s="29" t="str">
        <f aca="false">IFERROR(IF('試作シート35'!d4="","",'試作シート35'!d4),"")</f>
        <v/>
      </c>
      <c r="H36" s="30" t="str">
        <f aca="false">IFERROR(IF('試作シート35'!b5="","",'試作シート35'!b5),"")</f>
        <v/>
      </c>
      <c r="I36" s="31" t="str">
        <f aca="false">IFERROR(IF('試作シート35'!d5="","",'試作シート35'!d5),"")</f>
        <v/>
      </c>
      <c r="J36" s="30" t="str">
        <f aca="false">IFERROR(IF('試作シート35'!b6="","",'試作シート35'!b6),"")</f>
        <v/>
      </c>
      <c r="K36" s="31" t="str">
        <f aca="false">IFERROR(IF('試作シート35'!d6="","",'試作シート35'!d6),"")</f>
        <v/>
      </c>
      <c r="L36" s="30" t="str">
        <f aca="false">IFERROR(IF('試作シート35'!b7="","",'試作シート35'!b7),"")</f>
        <v/>
      </c>
      <c r="M36" s="32" t="str">
        <f aca="false">IFERROR(IF('試作シート35'!b8="","",'試作シート35'!b8),"")</f>
        <v/>
      </c>
      <c r="N36" s="32" t="str">
        <f aca="false">IFERROR(IF('試作シート35'!b9="","",'試作シート35'!b9),"")</f>
        <v/>
      </c>
    </row>
    <row r="37" customFormat="false" ht="15" hidden="false" customHeight="false" outlineLevel="0" collapsed="false">
      <c r="A37" s="26" t="n">
        <f aca="false">ROW()-1</f>
        <v>36</v>
      </c>
      <c r="B37" s="27" t="str">
        <f aca="false">IF(ISERROR('試作シート36'!$a$1),"",HYPERLINK("#'試作シート36'!A1","試作シート36"))</f>
        <v/>
      </c>
      <c r="C37" s="28" t="str">
        <f aca="false">IF(ISERROR('試作シート36'!$a$1),"",IF(OR(表紙!$D$4="",'試作シート36'!$d$4="",'試作シート36'!$b$5="",'試作シート36'!$d$5=""),"(入力待ち)",表紙!$D$4&amp;"_"&amp;'試作シート36'!$d$4&amp;"_"&amp;TEXT('試作シート36'!$b$5,"yyyymmdd")&amp;TEXT('試作シート36'!$d$5,"hhmm")&amp;"_"&amp;A37))</f>
        <v/>
      </c>
      <c r="D37" s="29" t="str">
        <f aca="false">IFERROR(IF('試作シート36'!b2="","",'試作シート36'!b2),"")</f>
        <v/>
      </c>
      <c r="E37" s="29" t="str">
        <f aca="false">IFERROR(IF('試作シート36'!b3="","",'試作シート36'!b3),"")</f>
        <v/>
      </c>
      <c r="F37" s="29" t="str">
        <f aca="false">IFERROR(IF('試作シート36'!b4="","",'試作シート36'!b4),"")</f>
        <v/>
      </c>
      <c r="G37" s="29" t="str">
        <f aca="false">IFERROR(IF('試作シート36'!d4="","",'試作シート36'!d4),"")</f>
        <v/>
      </c>
      <c r="H37" s="30" t="str">
        <f aca="false">IFERROR(IF('試作シート36'!b5="","",'試作シート36'!b5),"")</f>
        <v/>
      </c>
      <c r="I37" s="31" t="str">
        <f aca="false">IFERROR(IF('試作シート36'!d5="","",'試作シート36'!d5),"")</f>
        <v/>
      </c>
      <c r="J37" s="30" t="str">
        <f aca="false">IFERROR(IF('試作シート36'!b6="","",'試作シート36'!b6),"")</f>
        <v/>
      </c>
      <c r="K37" s="31" t="str">
        <f aca="false">IFERROR(IF('試作シート36'!d6="","",'試作シート36'!d6),"")</f>
        <v/>
      </c>
      <c r="L37" s="30" t="str">
        <f aca="false">IFERROR(IF('試作シート36'!b7="","",'試作シート36'!b7),"")</f>
        <v/>
      </c>
      <c r="M37" s="32" t="str">
        <f aca="false">IFERROR(IF('試作シート36'!b8="","",'試作シート36'!b8),"")</f>
        <v/>
      </c>
      <c r="N37" s="32" t="str">
        <f aca="false">IFERROR(IF('試作シート36'!b9="","",'試作シート36'!b9),"")</f>
        <v/>
      </c>
    </row>
    <row r="38" customFormat="false" ht="15" hidden="false" customHeight="false" outlineLevel="0" collapsed="false">
      <c r="A38" s="26" t="n">
        <f aca="false">ROW()-1</f>
        <v>37</v>
      </c>
      <c r="B38" s="27" t="str">
        <f aca="false">IF(ISERROR('試作シート37'!$a$1),"",HYPERLINK("#'試作シート37'!A1","試作シート37"))</f>
        <v/>
      </c>
      <c r="C38" s="28" t="str">
        <f aca="false">IF(ISERROR('試作シート37'!$a$1),"",IF(OR(表紙!$D$4="",'試作シート37'!$d$4="",'試作シート37'!$b$5="",'試作シート37'!$d$5=""),"(入力待ち)",表紙!$D$4&amp;"_"&amp;'試作シート37'!$d$4&amp;"_"&amp;TEXT('試作シート37'!$b$5,"yyyymmdd")&amp;TEXT('試作シート37'!$d$5,"hhmm")&amp;"_"&amp;A38))</f>
        <v/>
      </c>
      <c r="D38" s="29" t="str">
        <f aca="false">IFERROR(IF('試作シート37'!b2="","",'試作シート37'!b2),"")</f>
        <v/>
      </c>
      <c r="E38" s="29" t="str">
        <f aca="false">IFERROR(IF('試作シート37'!b3="","",'試作シート37'!b3),"")</f>
        <v/>
      </c>
      <c r="F38" s="29" t="str">
        <f aca="false">IFERROR(IF('試作シート37'!b4="","",'試作シート37'!b4),"")</f>
        <v/>
      </c>
      <c r="G38" s="29" t="str">
        <f aca="false">IFERROR(IF('試作シート37'!d4="","",'試作シート37'!d4),"")</f>
        <v/>
      </c>
      <c r="H38" s="30" t="str">
        <f aca="false">IFERROR(IF('試作シート37'!b5="","",'試作シート37'!b5),"")</f>
        <v/>
      </c>
      <c r="I38" s="31" t="str">
        <f aca="false">IFERROR(IF('試作シート37'!d5="","",'試作シート37'!d5),"")</f>
        <v/>
      </c>
      <c r="J38" s="30" t="str">
        <f aca="false">IFERROR(IF('試作シート37'!b6="","",'試作シート37'!b6),"")</f>
        <v/>
      </c>
      <c r="K38" s="31" t="str">
        <f aca="false">IFERROR(IF('試作シート37'!d6="","",'試作シート37'!d6),"")</f>
        <v/>
      </c>
      <c r="L38" s="30" t="str">
        <f aca="false">IFERROR(IF('試作シート37'!b7="","",'試作シート37'!b7),"")</f>
        <v/>
      </c>
      <c r="M38" s="32" t="str">
        <f aca="false">IFERROR(IF('試作シート37'!b8="","",'試作シート37'!b8),"")</f>
        <v/>
      </c>
      <c r="N38" s="32" t="str">
        <f aca="false">IFERROR(IF('試作シート37'!b9="","",'試作シート37'!b9),"")</f>
        <v/>
      </c>
    </row>
    <row r="39" customFormat="false" ht="15" hidden="false" customHeight="false" outlineLevel="0" collapsed="false">
      <c r="A39" s="26" t="n">
        <f aca="false">ROW()-1</f>
        <v>38</v>
      </c>
      <c r="B39" s="27" t="str">
        <f aca="false">IF(ISERROR('試作シート38'!$a$1),"",HYPERLINK("#'試作シート38'!A1","試作シート38"))</f>
        <v/>
      </c>
      <c r="C39" s="28" t="str">
        <f aca="false">IF(ISERROR('試作シート38'!$a$1),"",IF(OR(表紙!$D$4="",'試作シート38'!$d$4="",'試作シート38'!$b$5="",'試作シート38'!$d$5=""),"(入力待ち)",表紙!$D$4&amp;"_"&amp;'試作シート38'!$d$4&amp;"_"&amp;TEXT('試作シート38'!$b$5,"yyyymmdd")&amp;TEXT('試作シート38'!$d$5,"hhmm")&amp;"_"&amp;A39))</f>
        <v/>
      </c>
      <c r="D39" s="29" t="str">
        <f aca="false">IFERROR(IF('試作シート38'!b2="","",'試作シート38'!b2),"")</f>
        <v/>
      </c>
      <c r="E39" s="29" t="str">
        <f aca="false">IFERROR(IF('試作シート38'!b3="","",'試作シート38'!b3),"")</f>
        <v/>
      </c>
      <c r="F39" s="29" t="str">
        <f aca="false">IFERROR(IF('試作シート38'!b4="","",'試作シート38'!b4),"")</f>
        <v/>
      </c>
      <c r="G39" s="29" t="str">
        <f aca="false">IFERROR(IF('試作シート38'!d4="","",'試作シート38'!d4),"")</f>
        <v/>
      </c>
      <c r="H39" s="30" t="str">
        <f aca="false">IFERROR(IF('試作シート38'!b5="","",'試作シート38'!b5),"")</f>
        <v/>
      </c>
      <c r="I39" s="31" t="str">
        <f aca="false">IFERROR(IF('試作シート38'!d5="","",'試作シート38'!d5),"")</f>
        <v/>
      </c>
      <c r="J39" s="30" t="str">
        <f aca="false">IFERROR(IF('試作シート38'!b6="","",'試作シート38'!b6),"")</f>
        <v/>
      </c>
      <c r="K39" s="31" t="str">
        <f aca="false">IFERROR(IF('試作シート38'!d6="","",'試作シート38'!d6),"")</f>
        <v/>
      </c>
      <c r="L39" s="30" t="str">
        <f aca="false">IFERROR(IF('試作シート38'!b7="","",'試作シート38'!b7),"")</f>
        <v/>
      </c>
      <c r="M39" s="32" t="str">
        <f aca="false">IFERROR(IF('試作シート38'!b8="","",'試作シート38'!b8),"")</f>
        <v/>
      </c>
      <c r="N39" s="32" t="str">
        <f aca="false">IFERROR(IF('試作シート38'!b9="","",'試作シート38'!b9),"")</f>
        <v/>
      </c>
    </row>
    <row r="40" customFormat="false" ht="15" hidden="false" customHeight="false" outlineLevel="0" collapsed="false">
      <c r="A40" s="26" t="n">
        <f aca="false">ROW()-1</f>
        <v>39</v>
      </c>
      <c r="B40" s="27" t="str">
        <f aca="false">IF(ISERROR('試作シート39'!$a$1),"",HYPERLINK("#'試作シート39'!A1","試作シート39"))</f>
        <v/>
      </c>
      <c r="C40" s="28" t="str">
        <f aca="false">IF(ISERROR('試作シート39'!$a$1),"",IF(OR(表紙!$D$4="",'試作シート39'!$d$4="",'試作シート39'!$b$5="",'試作シート39'!$d$5=""),"(入力待ち)",表紙!$D$4&amp;"_"&amp;'試作シート39'!$d$4&amp;"_"&amp;TEXT('試作シート39'!$b$5,"yyyymmdd")&amp;TEXT('試作シート39'!$d$5,"hhmm")&amp;"_"&amp;A40))</f>
        <v/>
      </c>
      <c r="D40" s="29" t="str">
        <f aca="false">IFERROR(IF('試作シート39'!b2="","",'試作シート39'!b2),"")</f>
        <v/>
      </c>
      <c r="E40" s="29" t="str">
        <f aca="false">IFERROR(IF('試作シート39'!b3="","",'試作シート39'!b3),"")</f>
        <v/>
      </c>
      <c r="F40" s="29" t="str">
        <f aca="false">IFERROR(IF('試作シート39'!b4="","",'試作シート39'!b4),"")</f>
        <v/>
      </c>
      <c r="G40" s="29" t="str">
        <f aca="false">IFERROR(IF('試作シート39'!d4="","",'試作シート39'!d4),"")</f>
        <v/>
      </c>
      <c r="H40" s="30" t="str">
        <f aca="false">IFERROR(IF('試作シート39'!b5="","",'試作シート39'!b5),"")</f>
        <v/>
      </c>
      <c r="I40" s="31" t="str">
        <f aca="false">IFERROR(IF('試作シート39'!d5="","",'試作シート39'!d5),"")</f>
        <v/>
      </c>
      <c r="J40" s="30" t="str">
        <f aca="false">IFERROR(IF('試作シート39'!b6="","",'試作シート39'!b6),"")</f>
        <v/>
      </c>
      <c r="K40" s="31" t="str">
        <f aca="false">IFERROR(IF('試作シート39'!d6="","",'試作シート39'!d6),"")</f>
        <v/>
      </c>
      <c r="L40" s="30" t="str">
        <f aca="false">IFERROR(IF('試作シート39'!b7="","",'試作シート39'!b7),"")</f>
        <v/>
      </c>
      <c r="M40" s="32" t="str">
        <f aca="false">IFERROR(IF('試作シート39'!b8="","",'試作シート39'!b8),"")</f>
        <v/>
      </c>
      <c r="N40" s="32" t="str">
        <f aca="false">IFERROR(IF('試作シート39'!b9="","",'試作シート39'!b9),"")</f>
        <v/>
      </c>
    </row>
    <row r="41" customFormat="false" ht="15" hidden="false" customHeight="false" outlineLevel="0" collapsed="false">
      <c r="A41" s="26" t="n">
        <f aca="false">ROW()-1</f>
        <v>40</v>
      </c>
      <c r="B41" s="27" t="str">
        <f aca="false">IF(ISERROR('試作シート40'!$a$1),"",HYPERLINK("#'試作シート40'!A1","試作シート40"))</f>
        <v/>
      </c>
      <c r="C41" s="28" t="str">
        <f aca="false">IF(ISERROR('試作シート40'!$a$1),"",IF(OR(表紙!$D$4="",'試作シート40'!$d$4="",'試作シート40'!$b$5="",'試作シート40'!$d$5=""),"(入力待ち)",表紙!$D$4&amp;"_"&amp;'試作シート40'!$d$4&amp;"_"&amp;TEXT('試作シート40'!$b$5,"yyyymmdd")&amp;TEXT('試作シート40'!$d$5,"hhmm")&amp;"_"&amp;A41))</f>
        <v/>
      </c>
      <c r="D41" s="29" t="str">
        <f aca="false">IFERROR(IF('試作シート40'!b2="","",'試作シート40'!b2),"")</f>
        <v/>
      </c>
      <c r="E41" s="29" t="str">
        <f aca="false">IFERROR(IF('試作シート40'!b3="","",'試作シート40'!b3),"")</f>
        <v/>
      </c>
      <c r="F41" s="29" t="str">
        <f aca="false">IFERROR(IF('試作シート40'!b4="","",'試作シート40'!b4),"")</f>
        <v/>
      </c>
      <c r="G41" s="29" t="str">
        <f aca="false">IFERROR(IF('試作シート40'!d4="","",'試作シート40'!d4),"")</f>
        <v/>
      </c>
      <c r="H41" s="30" t="str">
        <f aca="false">IFERROR(IF('試作シート40'!b5="","",'試作シート40'!b5),"")</f>
        <v/>
      </c>
      <c r="I41" s="31" t="str">
        <f aca="false">IFERROR(IF('試作シート40'!d5="","",'試作シート40'!d5),"")</f>
        <v/>
      </c>
      <c r="J41" s="30" t="str">
        <f aca="false">IFERROR(IF('試作シート40'!b6="","",'試作シート40'!b6),"")</f>
        <v/>
      </c>
      <c r="K41" s="31" t="str">
        <f aca="false">IFERROR(IF('試作シート40'!d6="","",'試作シート40'!d6),"")</f>
        <v/>
      </c>
      <c r="L41" s="30" t="str">
        <f aca="false">IFERROR(IF('試作シート40'!b7="","",'試作シート40'!b7),"")</f>
        <v/>
      </c>
      <c r="M41" s="32" t="str">
        <f aca="false">IFERROR(IF('試作シート40'!b8="","",'試作シート40'!b8),"")</f>
        <v/>
      </c>
      <c r="N41" s="32" t="str">
        <f aca="false">IFERROR(IF('試作シート40'!b9="","",'試作シート40'!b9),"")</f>
        <v/>
      </c>
    </row>
    <row r="42" customFormat="false" ht="15" hidden="false" customHeight="false" outlineLevel="0" collapsed="false">
      <c r="A42" s="26" t="n">
        <f aca="false">ROW()-1</f>
        <v>41</v>
      </c>
      <c r="B42" s="27" t="str">
        <f aca="false">IF(ISERROR('試作シート41'!$a$1),"",HYPERLINK("#'試作シート41'!A1","試作シート41"))</f>
        <v/>
      </c>
      <c r="C42" s="28" t="str">
        <f aca="false">IF(ISERROR('試作シート41'!$a$1),"",IF(OR(表紙!$D$4="",'試作シート41'!$d$4="",'試作シート41'!$b$5="",'試作シート41'!$d$5=""),"(入力待ち)",表紙!$D$4&amp;"_"&amp;'試作シート41'!$d$4&amp;"_"&amp;TEXT('試作シート41'!$b$5,"yyyymmdd")&amp;TEXT('試作シート41'!$d$5,"hhmm")&amp;"_"&amp;A42))</f>
        <v/>
      </c>
      <c r="D42" s="29" t="str">
        <f aca="false">IFERROR(IF('試作シート41'!b2="","",'試作シート41'!b2),"")</f>
        <v/>
      </c>
      <c r="E42" s="29" t="str">
        <f aca="false">IFERROR(IF('試作シート41'!b3="","",'試作シート41'!b3),"")</f>
        <v/>
      </c>
      <c r="F42" s="29" t="str">
        <f aca="false">IFERROR(IF('試作シート41'!b4="","",'試作シート41'!b4),"")</f>
        <v/>
      </c>
      <c r="G42" s="29" t="str">
        <f aca="false">IFERROR(IF('試作シート41'!d4="","",'試作シート41'!d4),"")</f>
        <v/>
      </c>
      <c r="H42" s="30" t="str">
        <f aca="false">IFERROR(IF('試作シート41'!b5="","",'試作シート41'!b5),"")</f>
        <v/>
      </c>
      <c r="I42" s="31" t="str">
        <f aca="false">IFERROR(IF('試作シート41'!d5="","",'試作シート41'!d5),"")</f>
        <v/>
      </c>
      <c r="J42" s="30" t="str">
        <f aca="false">IFERROR(IF('試作シート41'!b6="","",'試作シート41'!b6),"")</f>
        <v/>
      </c>
      <c r="K42" s="31" t="str">
        <f aca="false">IFERROR(IF('試作シート41'!d6="","",'試作シート41'!d6),"")</f>
        <v/>
      </c>
      <c r="L42" s="30" t="str">
        <f aca="false">IFERROR(IF('試作シート41'!b7="","",'試作シート41'!b7),"")</f>
        <v/>
      </c>
      <c r="M42" s="32" t="str">
        <f aca="false">IFERROR(IF('試作シート41'!b8="","",'試作シート41'!b8),"")</f>
        <v/>
      </c>
      <c r="N42" s="32" t="str">
        <f aca="false">IFERROR(IF('試作シート41'!b9="","",'試作シート41'!b9),"")</f>
        <v/>
      </c>
    </row>
    <row r="43" customFormat="false" ht="15" hidden="false" customHeight="false" outlineLevel="0" collapsed="false">
      <c r="A43" s="26" t="n">
        <f aca="false">ROW()-1</f>
        <v>42</v>
      </c>
      <c r="B43" s="27" t="str">
        <f aca="false">IF(ISERROR('試作シート42'!$a$1),"",HYPERLINK("#'試作シート42'!A1","試作シート42"))</f>
        <v/>
      </c>
      <c r="C43" s="28" t="str">
        <f aca="false">IF(ISERROR('試作シート42'!$a$1),"",IF(OR(表紙!$D$4="",'試作シート42'!$d$4="",'試作シート42'!$b$5="",'試作シート42'!$d$5=""),"(入力待ち)",表紙!$D$4&amp;"_"&amp;'試作シート42'!$d$4&amp;"_"&amp;TEXT('試作シート42'!$b$5,"yyyymmdd")&amp;TEXT('試作シート42'!$d$5,"hhmm")&amp;"_"&amp;A43))</f>
        <v/>
      </c>
      <c r="D43" s="29" t="str">
        <f aca="false">IFERROR(IF('試作シート42'!b2="","",'試作シート42'!b2),"")</f>
        <v/>
      </c>
      <c r="E43" s="29" t="str">
        <f aca="false">IFERROR(IF('試作シート42'!b3="","",'試作シート42'!b3),"")</f>
        <v/>
      </c>
      <c r="F43" s="29" t="str">
        <f aca="false">IFERROR(IF('試作シート42'!b4="","",'試作シート42'!b4),"")</f>
        <v/>
      </c>
      <c r="G43" s="29" t="str">
        <f aca="false">IFERROR(IF('試作シート42'!d4="","",'試作シート42'!d4),"")</f>
        <v/>
      </c>
      <c r="H43" s="30" t="str">
        <f aca="false">IFERROR(IF('試作シート42'!b5="","",'試作シート42'!b5),"")</f>
        <v/>
      </c>
      <c r="I43" s="31" t="str">
        <f aca="false">IFERROR(IF('試作シート42'!d5="","",'試作シート42'!d5),"")</f>
        <v/>
      </c>
      <c r="J43" s="30" t="str">
        <f aca="false">IFERROR(IF('試作シート42'!b6="","",'試作シート42'!b6),"")</f>
        <v/>
      </c>
      <c r="K43" s="31" t="str">
        <f aca="false">IFERROR(IF('試作シート42'!d6="","",'試作シート42'!d6),"")</f>
        <v/>
      </c>
      <c r="L43" s="30" t="str">
        <f aca="false">IFERROR(IF('試作シート42'!b7="","",'試作シート42'!b7),"")</f>
        <v/>
      </c>
      <c r="M43" s="32" t="str">
        <f aca="false">IFERROR(IF('試作シート42'!b8="","",'試作シート42'!b8),"")</f>
        <v/>
      </c>
      <c r="N43" s="32" t="str">
        <f aca="false">IFERROR(IF('試作シート42'!b9="","",'試作シート42'!b9),"")</f>
        <v/>
      </c>
    </row>
    <row r="44" customFormat="false" ht="15" hidden="false" customHeight="false" outlineLevel="0" collapsed="false">
      <c r="A44" s="26" t="n">
        <f aca="false">ROW()-1</f>
        <v>43</v>
      </c>
      <c r="B44" s="27" t="str">
        <f aca="false">IF(ISERROR('試作シート43'!$a$1),"",HYPERLINK("#'試作シート43'!A1","試作シート43"))</f>
        <v/>
      </c>
      <c r="C44" s="28" t="str">
        <f aca="false">IF(ISERROR('試作シート43'!$a$1),"",IF(OR(表紙!$D$4="",'試作シート43'!$d$4="",'試作シート43'!$b$5="",'試作シート43'!$d$5=""),"(入力待ち)",表紙!$D$4&amp;"_"&amp;'試作シート43'!$d$4&amp;"_"&amp;TEXT('試作シート43'!$b$5,"yyyymmdd")&amp;TEXT('試作シート43'!$d$5,"hhmm")&amp;"_"&amp;A44))</f>
        <v/>
      </c>
      <c r="D44" s="29" t="str">
        <f aca="false">IFERROR(IF('試作シート43'!b2="","",'試作シート43'!b2),"")</f>
        <v/>
      </c>
      <c r="E44" s="29" t="str">
        <f aca="false">IFERROR(IF('試作シート43'!b3="","",'試作シート43'!b3),"")</f>
        <v/>
      </c>
      <c r="F44" s="29" t="str">
        <f aca="false">IFERROR(IF('試作シート43'!b4="","",'試作シート43'!b4),"")</f>
        <v/>
      </c>
      <c r="G44" s="29" t="str">
        <f aca="false">IFERROR(IF('試作シート43'!d4="","",'試作シート43'!d4),"")</f>
        <v/>
      </c>
      <c r="H44" s="30" t="str">
        <f aca="false">IFERROR(IF('試作シート43'!b5="","",'試作シート43'!b5),"")</f>
        <v/>
      </c>
      <c r="I44" s="31" t="str">
        <f aca="false">IFERROR(IF('試作シート43'!d5="","",'試作シート43'!d5),"")</f>
        <v/>
      </c>
      <c r="J44" s="30" t="str">
        <f aca="false">IFERROR(IF('試作シート43'!b6="","",'試作シート43'!b6),"")</f>
        <v/>
      </c>
      <c r="K44" s="31" t="str">
        <f aca="false">IFERROR(IF('試作シート43'!d6="","",'試作シート43'!d6),"")</f>
        <v/>
      </c>
      <c r="L44" s="30" t="str">
        <f aca="false">IFERROR(IF('試作シート43'!b7="","",'試作シート43'!b7),"")</f>
        <v/>
      </c>
      <c r="M44" s="32" t="str">
        <f aca="false">IFERROR(IF('試作シート43'!b8="","",'試作シート43'!b8),"")</f>
        <v/>
      </c>
      <c r="N44" s="32" t="str">
        <f aca="false">IFERROR(IF('試作シート43'!b9="","",'試作シート43'!b9),"")</f>
        <v/>
      </c>
    </row>
    <row r="45" customFormat="false" ht="15" hidden="false" customHeight="false" outlineLevel="0" collapsed="false">
      <c r="A45" s="26" t="n">
        <f aca="false">ROW()-1</f>
        <v>44</v>
      </c>
      <c r="B45" s="27" t="str">
        <f aca="false">IF(ISERROR('試作シート44'!$a$1),"",HYPERLINK("#'試作シート44'!A1","試作シート44"))</f>
        <v/>
      </c>
      <c r="C45" s="28" t="str">
        <f aca="false">IF(ISERROR('試作シート44'!$a$1),"",IF(OR(表紙!$D$4="",'試作シート44'!$d$4="",'試作シート44'!$b$5="",'試作シート44'!$d$5=""),"(入力待ち)",表紙!$D$4&amp;"_"&amp;'試作シート44'!$d$4&amp;"_"&amp;TEXT('試作シート44'!$b$5,"yyyymmdd")&amp;TEXT('試作シート44'!$d$5,"hhmm")&amp;"_"&amp;A45))</f>
        <v/>
      </c>
      <c r="D45" s="29" t="str">
        <f aca="false">IFERROR(IF('試作シート44'!b2="","",'試作シート44'!b2),"")</f>
        <v/>
      </c>
      <c r="E45" s="29" t="str">
        <f aca="false">IFERROR(IF('試作シート44'!b3="","",'試作シート44'!b3),"")</f>
        <v/>
      </c>
      <c r="F45" s="29" t="str">
        <f aca="false">IFERROR(IF('試作シート44'!b4="","",'試作シート44'!b4),"")</f>
        <v/>
      </c>
      <c r="G45" s="29" t="str">
        <f aca="false">IFERROR(IF('試作シート44'!d4="","",'試作シート44'!d4),"")</f>
        <v/>
      </c>
      <c r="H45" s="30" t="str">
        <f aca="false">IFERROR(IF('試作シート44'!b5="","",'試作シート44'!b5),"")</f>
        <v/>
      </c>
      <c r="I45" s="31" t="str">
        <f aca="false">IFERROR(IF('試作シート44'!d5="","",'試作シート44'!d5),"")</f>
        <v/>
      </c>
      <c r="J45" s="30" t="str">
        <f aca="false">IFERROR(IF('試作シート44'!b6="","",'試作シート44'!b6),"")</f>
        <v/>
      </c>
      <c r="K45" s="31" t="str">
        <f aca="false">IFERROR(IF('試作シート44'!d6="","",'試作シート44'!d6),"")</f>
        <v/>
      </c>
      <c r="L45" s="30" t="str">
        <f aca="false">IFERROR(IF('試作シート44'!b7="","",'試作シート44'!b7),"")</f>
        <v/>
      </c>
      <c r="M45" s="32" t="str">
        <f aca="false">IFERROR(IF('試作シート44'!b8="","",'試作シート44'!b8),"")</f>
        <v/>
      </c>
      <c r="N45" s="32" t="str">
        <f aca="false">IFERROR(IF('試作シート44'!b9="","",'試作シート44'!b9),"")</f>
        <v/>
      </c>
    </row>
    <row r="46" customFormat="false" ht="15" hidden="false" customHeight="false" outlineLevel="0" collapsed="false">
      <c r="A46" s="26" t="n">
        <f aca="false">ROW()-1</f>
        <v>45</v>
      </c>
      <c r="B46" s="27" t="str">
        <f aca="false">IF(ISERROR('試作シート45'!$a$1),"",HYPERLINK("#'試作シート45'!A1","試作シート45"))</f>
        <v/>
      </c>
      <c r="C46" s="28" t="str">
        <f aca="false">IF(ISERROR('試作シート45'!$a$1),"",IF(OR(表紙!$D$4="",'試作シート45'!$d$4="",'試作シート45'!$b$5="",'試作シート45'!$d$5=""),"(入力待ち)",表紙!$D$4&amp;"_"&amp;'試作シート45'!$d$4&amp;"_"&amp;TEXT('試作シート45'!$b$5,"yyyymmdd")&amp;TEXT('試作シート45'!$d$5,"hhmm")&amp;"_"&amp;A46))</f>
        <v/>
      </c>
      <c r="D46" s="29" t="str">
        <f aca="false">IFERROR(IF('試作シート45'!b2="","",'試作シート45'!b2),"")</f>
        <v/>
      </c>
      <c r="E46" s="29" t="str">
        <f aca="false">IFERROR(IF('試作シート45'!b3="","",'試作シート45'!b3),"")</f>
        <v/>
      </c>
      <c r="F46" s="29" t="str">
        <f aca="false">IFERROR(IF('試作シート45'!b4="","",'試作シート45'!b4),"")</f>
        <v/>
      </c>
      <c r="G46" s="29" t="str">
        <f aca="false">IFERROR(IF('試作シート45'!d4="","",'試作シート45'!d4),"")</f>
        <v/>
      </c>
      <c r="H46" s="30" t="str">
        <f aca="false">IFERROR(IF('試作シート45'!b5="","",'試作シート45'!b5),"")</f>
        <v/>
      </c>
      <c r="I46" s="31" t="str">
        <f aca="false">IFERROR(IF('試作シート45'!d5="","",'試作シート45'!d5),"")</f>
        <v/>
      </c>
      <c r="J46" s="30" t="str">
        <f aca="false">IFERROR(IF('試作シート45'!b6="","",'試作シート45'!b6),"")</f>
        <v/>
      </c>
      <c r="K46" s="31" t="str">
        <f aca="false">IFERROR(IF('試作シート45'!d6="","",'試作シート45'!d6),"")</f>
        <v/>
      </c>
      <c r="L46" s="30" t="str">
        <f aca="false">IFERROR(IF('試作シート45'!b7="","",'試作シート45'!b7),"")</f>
        <v/>
      </c>
      <c r="M46" s="32" t="str">
        <f aca="false">IFERROR(IF('試作シート45'!b8="","",'試作シート45'!b8),"")</f>
        <v/>
      </c>
      <c r="N46" s="32" t="str">
        <f aca="false">IFERROR(IF('試作シート45'!b9="","",'試作シート45'!b9),"")</f>
        <v/>
      </c>
    </row>
    <row r="47" customFormat="false" ht="15" hidden="false" customHeight="false" outlineLevel="0" collapsed="false">
      <c r="A47" s="26" t="n">
        <f aca="false">ROW()-1</f>
        <v>46</v>
      </c>
      <c r="B47" s="27" t="str">
        <f aca="false">IF(ISERROR('試作シート46'!$a$1),"",HYPERLINK("#'試作シート46'!A1","試作シート46"))</f>
        <v/>
      </c>
      <c r="C47" s="28" t="str">
        <f aca="false">IF(ISERROR('試作シート46'!$a$1),"",IF(OR(表紙!$D$4="",'試作シート46'!$d$4="",'試作シート46'!$b$5="",'試作シート46'!$d$5=""),"(入力待ち)",表紙!$D$4&amp;"_"&amp;'試作シート46'!$d$4&amp;"_"&amp;TEXT('試作シート46'!$b$5,"yyyymmdd")&amp;TEXT('試作シート46'!$d$5,"hhmm")&amp;"_"&amp;A47))</f>
        <v/>
      </c>
      <c r="D47" s="29" t="str">
        <f aca="false">IFERROR(IF('試作シート46'!b2="","",'試作シート46'!b2),"")</f>
        <v/>
      </c>
      <c r="E47" s="29" t="str">
        <f aca="false">IFERROR(IF('試作シート46'!b3="","",'試作シート46'!b3),"")</f>
        <v/>
      </c>
      <c r="F47" s="29" t="str">
        <f aca="false">IFERROR(IF('試作シート46'!b4="","",'試作シート46'!b4),"")</f>
        <v/>
      </c>
      <c r="G47" s="29" t="str">
        <f aca="false">IFERROR(IF('試作シート46'!d4="","",'試作シート46'!d4),"")</f>
        <v/>
      </c>
      <c r="H47" s="30" t="str">
        <f aca="false">IFERROR(IF('試作シート46'!b5="","",'試作シート46'!b5),"")</f>
        <v/>
      </c>
      <c r="I47" s="31" t="str">
        <f aca="false">IFERROR(IF('試作シート46'!d5="","",'試作シート46'!d5),"")</f>
        <v/>
      </c>
      <c r="J47" s="30" t="str">
        <f aca="false">IFERROR(IF('試作シート46'!b6="","",'試作シート46'!b6),"")</f>
        <v/>
      </c>
      <c r="K47" s="31" t="str">
        <f aca="false">IFERROR(IF('試作シート46'!d6="","",'試作シート46'!d6),"")</f>
        <v/>
      </c>
      <c r="L47" s="30" t="str">
        <f aca="false">IFERROR(IF('試作シート46'!b7="","",'試作シート46'!b7),"")</f>
        <v/>
      </c>
      <c r="M47" s="32" t="str">
        <f aca="false">IFERROR(IF('試作シート46'!b8="","",'試作シート46'!b8),"")</f>
        <v/>
      </c>
      <c r="N47" s="32" t="str">
        <f aca="false">IFERROR(IF('試作シート46'!b9="","",'試作シート46'!b9),"")</f>
        <v/>
      </c>
    </row>
    <row r="48" customFormat="false" ht="15" hidden="false" customHeight="false" outlineLevel="0" collapsed="false">
      <c r="A48" s="26" t="n">
        <f aca="false">ROW()-1</f>
        <v>47</v>
      </c>
      <c r="B48" s="27" t="str">
        <f aca="false">IF(ISERROR('試作シート47'!$a$1),"",HYPERLINK("#'試作シート47'!A1","試作シート47"))</f>
        <v/>
      </c>
      <c r="C48" s="28" t="str">
        <f aca="false">IF(ISERROR('試作シート47'!$a$1),"",IF(OR(表紙!$D$4="",'試作シート47'!$d$4="",'試作シート47'!$b$5="",'試作シート47'!$d$5=""),"(入力待ち)",表紙!$D$4&amp;"_"&amp;'試作シート47'!$d$4&amp;"_"&amp;TEXT('試作シート47'!$b$5,"yyyymmdd")&amp;TEXT('試作シート47'!$d$5,"hhmm")&amp;"_"&amp;A48))</f>
        <v/>
      </c>
      <c r="D48" s="29" t="str">
        <f aca="false">IFERROR(IF('試作シート47'!b2="","",'試作シート47'!b2),"")</f>
        <v/>
      </c>
      <c r="E48" s="29" t="str">
        <f aca="false">IFERROR(IF('試作シート47'!b3="","",'試作シート47'!b3),"")</f>
        <v/>
      </c>
      <c r="F48" s="29" t="str">
        <f aca="false">IFERROR(IF('試作シート47'!b4="","",'試作シート47'!b4),"")</f>
        <v/>
      </c>
      <c r="G48" s="29" t="str">
        <f aca="false">IFERROR(IF('試作シート47'!d4="","",'試作シート47'!d4),"")</f>
        <v/>
      </c>
      <c r="H48" s="30" t="str">
        <f aca="false">IFERROR(IF('試作シート47'!b5="","",'試作シート47'!b5),"")</f>
        <v/>
      </c>
      <c r="I48" s="31" t="str">
        <f aca="false">IFERROR(IF('試作シート47'!d5="","",'試作シート47'!d5),"")</f>
        <v/>
      </c>
      <c r="J48" s="30" t="str">
        <f aca="false">IFERROR(IF('試作シート47'!b6="","",'試作シート47'!b6),"")</f>
        <v/>
      </c>
      <c r="K48" s="31" t="str">
        <f aca="false">IFERROR(IF('試作シート47'!d6="","",'試作シート47'!d6),"")</f>
        <v/>
      </c>
      <c r="L48" s="30" t="str">
        <f aca="false">IFERROR(IF('試作シート47'!b7="","",'試作シート47'!b7),"")</f>
        <v/>
      </c>
      <c r="M48" s="32" t="str">
        <f aca="false">IFERROR(IF('試作シート47'!b8="","",'試作シート47'!b8),"")</f>
        <v/>
      </c>
      <c r="N48" s="32" t="str">
        <f aca="false">IFERROR(IF('試作シート47'!b9="","",'試作シート47'!b9),"")</f>
        <v/>
      </c>
    </row>
    <row r="49" customFormat="false" ht="15" hidden="false" customHeight="false" outlineLevel="0" collapsed="false">
      <c r="A49" s="26" t="n">
        <f aca="false">ROW()-1</f>
        <v>48</v>
      </c>
      <c r="B49" s="27" t="str">
        <f aca="false">IF(ISERROR('試作シート48'!$a$1),"",HYPERLINK("#'試作シート48'!A1","試作シート48"))</f>
        <v/>
      </c>
      <c r="C49" s="28" t="str">
        <f aca="false">IF(ISERROR('試作シート48'!$a$1),"",IF(OR(表紙!$D$4="",'試作シート48'!$d$4="",'試作シート48'!$b$5="",'試作シート48'!$d$5=""),"(入力待ち)",表紙!$D$4&amp;"_"&amp;'試作シート48'!$d$4&amp;"_"&amp;TEXT('試作シート48'!$b$5,"yyyymmdd")&amp;TEXT('試作シート48'!$d$5,"hhmm")&amp;"_"&amp;A49))</f>
        <v/>
      </c>
      <c r="D49" s="29" t="str">
        <f aca="false">IFERROR(IF('試作シート48'!b2="","",'試作シート48'!b2),"")</f>
        <v/>
      </c>
      <c r="E49" s="29" t="str">
        <f aca="false">IFERROR(IF('試作シート48'!b3="","",'試作シート48'!b3),"")</f>
        <v/>
      </c>
      <c r="F49" s="29" t="str">
        <f aca="false">IFERROR(IF('試作シート48'!b4="","",'試作シート48'!b4),"")</f>
        <v/>
      </c>
      <c r="G49" s="29" t="str">
        <f aca="false">IFERROR(IF('試作シート48'!d4="","",'試作シート48'!d4),"")</f>
        <v/>
      </c>
      <c r="H49" s="30" t="str">
        <f aca="false">IFERROR(IF('試作シート48'!b5="","",'試作シート48'!b5),"")</f>
        <v/>
      </c>
      <c r="I49" s="31" t="str">
        <f aca="false">IFERROR(IF('試作シート48'!d5="","",'試作シート48'!d5),"")</f>
        <v/>
      </c>
      <c r="J49" s="30" t="str">
        <f aca="false">IFERROR(IF('試作シート48'!b6="","",'試作シート48'!b6),"")</f>
        <v/>
      </c>
      <c r="K49" s="31" t="str">
        <f aca="false">IFERROR(IF('試作シート48'!d6="","",'試作シート48'!d6),"")</f>
        <v/>
      </c>
      <c r="L49" s="30" t="str">
        <f aca="false">IFERROR(IF('試作シート48'!b7="","",'試作シート48'!b7),"")</f>
        <v/>
      </c>
      <c r="M49" s="32" t="str">
        <f aca="false">IFERROR(IF('試作シート48'!b8="","",'試作シート48'!b8),"")</f>
        <v/>
      </c>
      <c r="N49" s="32" t="str">
        <f aca="false">IFERROR(IF('試作シート48'!b9="","",'試作シート48'!b9),"")</f>
        <v/>
      </c>
    </row>
    <row r="50" customFormat="false" ht="15" hidden="false" customHeight="false" outlineLevel="0" collapsed="false">
      <c r="A50" s="26" t="n">
        <f aca="false">ROW()-1</f>
        <v>49</v>
      </c>
      <c r="B50" s="27" t="str">
        <f aca="false">IF(ISERROR('試作シート49'!$a$1),"",HYPERLINK("#'試作シート49'!A1","試作シート49"))</f>
        <v/>
      </c>
      <c r="C50" s="28" t="str">
        <f aca="false">IF(ISERROR('試作シート49'!$a$1),"",IF(OR(表紙!$D$4="",'試作シート49'!$d$4="",'試作シート49'!$b$5="",'試作シート49'!$d$5=""),"(入力待ち)",表紙!$D$4&amp;"_"&amp;'試作シート49'!$d$4&amp;"_"&amp;TEXT('試作シート49'!$b$5,"yyyymmdd")&amp;TEXT('試作シート49'!$d$5,"hhmm")&amp;"_"&amp;A50))</f>
        <v/>
      </c>
      <c r="D50" s="29" t="str">
        <f aca="false">IFERROR(IF('試作シート49'!b2="","",'試作シート49'!b2),"")</f>
        <v/>
      </c>
      <c r="E50" s="29" t="str">
        <f aca="false">IFERROR(IF('試作シート49'!b3="","",'試作シート49'!b3),"")</f>
        <v/>
      </c>
      <c r="F50" s="29" t="str">
        <f aca="false">IFERROR(IF('試作シート49'!b4="","",'試作シート49'!b4),"")</f>
        <v/>
      </c>
      <c r="G50" s="29" t="str">
        <f aca="false">IFERROR(IF('試作シート49'!d4="","",'試作シート49'!d4),"")</f>
        <v/>
      </c>
      <c r="H50" s="30" t="str">
        <f aca="false">IFERROR(IF('試作シート49'!b5="","",'試作シート49'!b5),"")</f>
        <v/>
      </c>
      <c r="I50" s="31" t="str">
        <f aca="false">IFERROR(IF('試作シート49'!d5="","",'試作シート49'!d5),"")</f>
        <v/>
      </c>
      <c r="J50" s="30" t="str">
        <f aca="false">IFERROR(IF('試作シート49'!b6="","",'試作シート49'!b6),"")</f>
        <v/>
      </c>
      <c r="K50" s="31" t="str">
        <f aca="false">IFERROR(IF('試作シート49'!d6="","",'試作シート49'!d6),"")</f>
        <v/>
      </c>
      <c r="L50" s="30" t="str">
        <f aca="false">IFERROR(IF('試作シート49'!b7="","",'試作シート49'!b7),"")</f>
        <v/>
      </c>
      <c r="M50" s="32" t="str">
        <f aca="false">IFERROR(IF('試作シート49'!b8="","",'試作シート49'!b8),"")</f>
        <v/>
      </c>
      <c r="N50" s="32" t="str">
        <f aca="false">IFERROR(IF('試作シート49'!b9="","",'試作シート49'!b9),"")</f>
        <v/>
      </c>
    </row>
    <row r="51" customFormat="false" ht="15" hidden="false" customHeight="false" outlineLevel="0" collapsed="false">
      <c r="A51" s="26" t="n">
        <f aca="false">ROW()-1</f>
        <v>50</v>
      </c>
      <c r="B51" s="27" t="str">
        <f aca="false">IF(ISERROR('試作シート50'!$a$1),"",HYPERLINK("#'試作シート50'!A1","試作シート50"))</f>
        <v/>
      </c>
      <c r="C51" s="28" t="str">
        <f aca="false">IF(ISERROR('試作シート50'!$a$1),"",IF(OR(表紙!$D$4="",'試作シート50'!$d$4="",'試作シート50'!$b$5="",'試作シート50'!$d$5=""),"(入力待ち)",表紙!$D$4&amp;"_"&amp;'試作シート50'!$d$4&amp;"_"&amp;TEXT('試作シート50'!$b$5,"yyyymmdd")&amp;TEXT('試作シート50'!$d$5,"hhmm")&amp;"_"&amp;A51))</f>
        <v/>
      </c>
      <c r="D51" s="29" t="str">
        <f aca="false">IFERROR(IF('試作シート50'!b2="","",'試作シート50'!b2),"")</f>
        <v/>
      </c>
      <c r="E51" s="29" t="str">
        <f aca="false">IFERROR(IF('試作シート50'!b3="","",'試作シート50'!b3),"")</f>
        <v/>
      </c>
      <c r="F51" s="29" t="str">
        <f aca="false">IFERROR(IF('試作シート50'!b4="","",'試作シート50'!b4),"")</f>
        <v/>
      </c>
      <c r="G51" s="29" t="str">
        <f aca="false">IFERROR(IF('試作シート50'!d4="","",'試作シート50'!d4),"")</f>
        <v/>
      </c>
      <c r="H51" s="30" t="str">
        <f aca="false">IFERROR(IF('試作シート50'!b5="","",'試作シート50'!b5),"")</f>
        <v/>
      </c>
      <c r="I51" s="31" t="str">
        <f aca="false">IFERROR(IF('試作シート50'!d5="","",'試作シート50'!d5),"")</f>
        <v/>
      </c>
      <c r="J51" s="30" t="str">
        <f aca="false">IFERROR(IF('試作シート50'!b6="","",'試作シート50'!b6),"")</f>
        <v/>
      </c>
      <c r="K51" s="31" t="str">
        <f aca="false">IFERROR(IF('試作シート50'!d6="","",'試作シート50'!d6),"")</f>
        <v/>
      </c>
      <c r="L51" s="30" t="str">
        <f aca="false">IFERROR(IF('試作シート50'!b7="","",'試作シート50'!b7),"")</f>
        <v/>
      </c>
      <c r="M51" s="32" t="str">
        <f aca="false">IFERROR(IF('試作シート50'!b8="","",'試作シート50'!b8),"")</f>
        <v/>
      </c>
      <c r="N51" s="32" t="str">
        <f aca="false">IFERROR(IF('試作シート50'!b9="","",'試作シート50'!b9),"")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2026-09-06T12:38:39Z</dcterms:created>
  <dc:creator>openpyxl</dc:creator>
  <dc:description/>
  <dc:language>en-US</dc:language>
  <cp:lastModifiedBy/>
  <dcterms:modified xsi:type="dcterms:W3CDTF">2026-09-06T12:38:39Z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